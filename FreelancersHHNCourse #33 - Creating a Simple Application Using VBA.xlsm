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CESOREMIXQ\HECTOR HERNANDEZ NERIA\VBA\VBAxlsPraxis\"/>
    </mc:Choice>
  </mc:AlternateContent>
  <bookViews>
    <workbookView xWindow="0" yWindow="0" windowWidth="24000" windowHeight="8745" activeTab="1"/>
  </bookViews>
  <sheets>
    <sheet name="TaskMatrix" sheetId="1" r:id="rId1"/>
    <sheet name="Hoja2" sheetId="2" r:id="rId2"/>
    <sheet name="To Do List" sheetId="3" r:id="rId3"/>
    <sheet name="To Do List Sorted" sheetId="4" r:id="rId4"/>
  </sheets>
  <definedNames>
    <definedName name="YesNo">Hoja2!$A$18:$A$19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2" l="1"/>
  <c r="N10" i="2"/>
  <c r="N9" i="2"/>
  <c r="N8" i="2"/>
  <c r="N7" i="2"/>
  <c r="N6" i="2"/>
  <c r="N5" i="2"/>
  <c r="N4" i="2"/>
  <c r="N3" i="2"/>
  <c r="J52" i="2" l="1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M52" i="2" l="1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4" i="2"/>
  <c r="M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4" i="2"/>
  <c r="L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4" i="2"/>
  <c r="K3" i="2"/>
  <c r="J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4" i="2"/>
  <c r="H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4" i="2"/>
  <c r="G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4" i="2"/>
  <c r="F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4" i="2"/>
  <c r="E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4" i="2"/>
  <c r="C3" i="2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H5" i="2" s="1"/>
  <c r="M5" i="2" s="1"/>
  <c r="D4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3" i="4"/>
  <c r="E4" i="4"/>
  <c r="E5" i="4"/>
  <c r="C5" i="2" s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" i="2" l="1"/>
  <c r="F5" i="2"/>
  <c r="K5" i="2" s="1"/>
  <c r="G5" i="2"/>
  <c r="L5" i="2" s="1"/>
  <c r="D3" i="4"/>
  <c r="C3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</calcChain>
</file>

<file path=xl/sharedStrings.xml><?xml version="1.0" encoding="utf-8"?>
<sst xmlns="http://schemas.openxmlformats.org/spreadsheetml/2006/main" count="44" uniqueCount="21">
  <si>
    <t>Scroll Bar - Imp and Urgent</t>
  </si>
  <si>
    <t>Scroll Bar - Imp</t>
  </si>
  <si>
    <t>Scroll Bar - Urgent</t>
  </si>
  <si>
    <t>Scroll Bar - None</t>
  </si>
  <si>
    <t>Yes</t>
  </si>
  <si>
    <t>No</t>
  </si>
  <si>
    <t>To be Started</t>
  </si>
  <si>
    <t>In-Progress</t>
  </si>
  <si>
    <t>Completed</t>
  </si>
  <si>
    <t>Satatus Option</t>
  </si>
  <si>
    <t>Activities</t>
  </si>
  <si>
    <t>Important</t>
  </si>
  <si>
    <t>Urgente</t>
  </si>
  <si>
    <t>Status</t>
  </si>
  <si>
    <t>llamer evis</t>
  </si>
  <si>
    <t>conquistar evis</t>
  </si>
  <si>
    <t>Important&amp;Urgent</t>
  </si>
  <si>
    <t>Urgent</t>
  </si>
  <si>
    <t>None</t>
  </si>
  <si>
    <t>coger a evis</t>
  </si>
  <si>
    <t>Important &amp; Urgent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</si>
</sst>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1" fillId="5" borderId="6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0" fillId="4" borderId="12" xfId="0" applyFont="1" applyFill="1" applyBorder="1"/>
    <xf numFmtId="0" fontId="0" fillId="0" borderId="7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0" fillId="3" borderId="15" xfId="0" applyFont="1" applyFill="1" applyBorder="1"/>
    <xf numFmtId="0" fontId="0" fillId="3" borderId="16" xfId="0" applyFont="1" applyFill="1" applyBorder="1"/>
    <xf numFmtId="0" fontId="0" fillId="4" borderId="17" xfId="0" applyFont="1" applyFill="1" applyBorder="1"/>
    <xf numFmtId="0" fontId="0" fillId="3" borderId="17" xfId="0" applyFont="1" applyFill="1" applyBorder="1"/>
    <xf numFmtId="0" fontId="0" fillId="3" borderId="12" xfId="0" applyFont="1" applyFill="1" applyBorder="1"/>
    <xf numFmtId="0" fontId="0" fillId="0" borderId="0" xfId="0" applyFont="1" applyBorder="1"/>
    <xf numFmtId="0" fontId="0" fillId="0" borderId="18" xfId="0" applyFill="1" applyBorder="1"/>
  </cellXfs>
  <cellStyles count="1">
    <cellStyle name="Normal" xfId="0" builtinId="0"/>
  </cellStyles>
  <dxfs count="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00"/>
      <color rgb="FF7A0000"/>
      <color rgb="FFFF97EB"/>
      <color rgb="FFFFAF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22" fmlaLink="Hoja2!$B$6" max="40" min="1" page="5" val="11"/>
</file>

<file path=xl/ctrlProps/ctrlProp2.xml><?xml version="1.0" encoding="utf-8"?>
<formControlPr xmlns="http://schemas.microsoft.com/office/spreadsheetml/2009/9/main" objectType="Scroll" dx="22" fmlaLink="Hoja2!$B$7" max="40" min="1" page="5" val="6"/>
</file>

<file path=xl/ctrlProps/ctrlProp3.xml><?xml version="1.0" encoding="utf-8"?>
<formControlPr xmlns="http://schemas.microsoft.com/office/spreadsheetml/2009/9/main" objectType="Scroll" dx="22" fmlaLink="Hoja2!$B$8" max="40" min="1" page="5"/>
</file>

<file path=xl/ctrlProps/ctrlProp4.xml><?xml version="1.0" encoding="utf-8"?>
<formControlPr xmlns="http://schemas.microsoft.com/office/spreadsheetml/2009/9/main" objectType="Scroll" dx="22" fmlaLink="Hoja2!$B$9" max="40" min="1" page="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4</xdr:row>
          <xdr:rowOff>38100</xdr:rowOff>
        </xdr:from>
        <xdr:to>
          <xdr:col>2</xdr:col>
          <xdr:colOff>276225</xdr:colOff>
          <xdr:row>13</xdr:row>
          <xdr:rowOff>161925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152400</xdr:colOff>
      <xdr:row>1</xdr:row>
      <xdr:rowOff>166687</xdr:rowOff>
    </xdr:from>
    <xdr:to>
      <xdr:col>1</xdr:col>
      <xdr:colOff>2438400</xdr:colOff>
      <xdr:row>2</xdr:row>
      <xdr:rowOff>166687</xdr:rowOff>
    </xdr:to>
    <xdr:sp macro="" textlink="">
      <xdr:nvSpPr>
        <xdr:cNvPr id="4" name="Rectangle 1"/>
        <xdr:cNvSpPr/>
      </xdr:nvSpPr>
      <xdr:spPr>
        <a:xfrm>
          <a:off x="266700" y="357187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0</xdr:colOff>
      <xdr:row>1</xdr:row>
      <xdr:rowOff>166687</xdr:rowOff>
    </xdr:from>
    <xdr:to>
      <xdr:col>4</xdr:col>
      <xdr:colOff>2286000</xdr:colOff>
      <xdr:row>2</xdr:row>
      <xdr:rowOff>166687</xdr:rowOff>
    </xdr:to>
    <xdr:sp macro="" textlink="">
      <xdr:nvSpPr>
        <xdr:cNvPr id="5" name="Rectangle 12"/>
        <xdr:cNvSpPr/>
      </xdr:nvSpPr>
      <xdr:spPr>
        <a:xfrm>
          <a:off x="3257550" y="357187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166687</xdr:rowOff>
    </xdr:from>
    <xdr:to>
      <xdr:col>7</xdr:col>
      <xdr:colOff>2286000</xdr:colOff>
      <xdr:row>2</xdr:row>
      <xdr:rowOff>166687</xdr:rowOff>
    </xdr:to>
    <xdr:sp macro="" textlink="">
      <xdr:nvSpPr>
        <xdr:cNvPr id="6" name="Rectangle 12"/>
        <xdr:cNvSpPr/>
      </xdr:nvSpPr>
      <xdr:spPr>
        <a:xfrm>
          <a:off x="6848475" y="357187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0</xdr:colOff>
      <xdr:row>1</xdr:row>
      <xdr:rowOff>166687</xdr:rowOff>
    </xdr:from>
    <xdr:to>
      <xdr:col>10</xdr:col>
      <xdr:colOff>2286000</xdr:colOff>
      <xdr:row>2</xdr:row>
      <xdr:rowOff>166687</xdr:rowOff>
    </xdr:to>
    <xdr:sp macro="" textlink="">
      <xdr:nvSpPr>
        <xdr:cNvPr id="7" name="Rectangle 12"/>
        <xdr:cNvSpPr/>
      </xdr:nvSpPr>
      <xdr:spPr>
        <a:xfrm>
          <a:off x="9991725" y="357187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38100</xdr:rowOff>
        </xdr:from>
        <xdr:to>
          <xdr:col>5</xdr:col>
          <xdr:colOff>285750</xdr:colOff>
          <xdr:row>13</xdr:row>
          <xdr:rowOff>161925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</xdr:row>
          <xdr:rowOff>38100</xdr:rowOff>
        </xdr:from>
        <xdr:to>
          <xdr:col>8</xdr:col>
          <xdr:colOff>228600</xdr:colOff>
          <xdr:row>13</xdr:row>
          <xdr:rowOff>161925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38100</xdr:rowOff>
        </xdr:from>
        <xdr:to>
          <xdr:col>11</xdr:col>
          <xdr:colOff>276225</xdr:colOff>
          <xdr:row>13</xdr:row>
          <xdr:rowOff>161925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2</xdr:row>
      <xdr:rowOff>143066</xdr:rowOff>
    </xdr:from>
    <xdr:to>
      <xdr:col>2</xdr:col>
      <xdr:colOff>176385</xdr:colOff>
      <xdr:row>3</xdr:row>
      <xdr:rowOff>171641</xdr:rowOff>
    </xdr:to>
    <xdr:sp macro="" textlink="">
      <xdr:nvSpPr>
        <xdr:cNvPr id="12" name="Rectangle 6"/>
        <xdr:cNvSpPr/>
      </xdr:nvSpPr>
      <xdr:spPr>
        <a:xfrm>
          <a:off x="114300" y="524066"/>
          <a:ext cx="2891010" cy="219075"/>
        </a:xfrm>
        <a:prstGeom prst="rect">
          <a:avLst/>
        </a:prstGeom>
        <a:solidFill>
          <a:srgbClr val="92D050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Necessity (MANAGE)</a:t>
          </a:r>
          <a:endParaRPr lang="en-US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0</xdr:colOff>
      <xdr:row>2</xdr:row>
      <xdr:rowOff>143066</xdr:rowOff>
    </xdr:from>
    <xdr:to>
      <xdr:col>5</xdr:col>
      <xdr:colOff>176385</xdr:colOff>
      <xdr:row>3</xdr:row>
      <xdr:rowOff>171641</xdr:rowOff>
    </xdr:to>
    <xdr:sp macro="" textlink="">
      <xdr:nvSpPr>
        <xdr:cNvPr id="13" name="Rectangle 6"/>
        <xdr:cNvSpPr/>
      </xdr:nvSpPr>
      <xdr:spPr>
        <a:xfrm>
          <a:off x="3257550" y="524066"/>
          <a:ext cx="2891010" cy="219075"/>
        </a:xfrm>
        <a:prstGeom prst="rect">
          <a:avLst/>
        </a:prstGeom>
        <a:solidFill>
          <a:schemeClr val="accent2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Necessity (MANAGE)</a:t>
          </a:r>
          <a:endParaRPr lang="en-US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2</xdr:row>
      <xdr:rowOff>142875</xdr:rowOff>
    </xdr:from>
    <xdr:to>
      <xdr:col>8</xdr:col>
      <xdr:colOff>165354</xdr:colOff>
      <xdr:row>3</xdr:row>
      <xdr:rowOff>171831</xdr:rowOff>
    </xdr:to>
    <xdr:sp macro="" textlink="">
      <xdr:nvSpPr>
        <xdr:cNvPr id="14" name="Rectangle 5"/>
        <xdr:cNvSpPr/>
      </xdr:nvSpPr>
      <xdr:spPr>
        <a:xfrm>
          <a:off x="6848475" y="523875"/>
          <a:ext cx="2879979" cy="219456"/>
        </a:xfrm>
        <a:prstGeom prst="rect">
          <a:avLst/>
        </a:prstGeom>
        <a:solidFill>
          <a:srgbClr val="FF97EB">
            <a:alpha val="60000"/>
          </a:srgb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Deception (AVOID)</a:t>
          </a:r>
        </a:p>
      </xdr:txBody>
    </xdr:sp>
    <xdr:clientData/>
  </xdr:twoCellAnchor>
  <xdr:twoCellAnchor>
    <xdr:from>
      <xdr:col>10</xdr:col>
      <xdr:colOff>0</xdr:colOff>
      <xdr:row>2</xdr:row>
      <xdr:rowOff>142875</xdr:rowOff>
    </xdr:from>
    <xdr:to>
      <xdr:col>11</xdr:col>
      <xdr:colOff>165354</xdr:colOff>
      <xdr:row>3</xdr:row>
      <xdr:rowOff>171831</xdr:rowOff>
    </xdr:to>
    <xdr:sp macro="" textlink="">
      <xdr:nvSpPr>
        <xdr:cNvPr id="15" name="Rectangle 7"/>
        <xdr:cNvSpPr/>
      </xdr:nvSpPr>
      <xdr:spPr>
        <a:xfrm>
          <a:off x="9991725" y="523875"/>
          <a:ext cx="2879979" cy="219456"/>
        </a:xfrm>
        <a:prstGeom prst="rect">
          <a:avLst/>
        </a:prstGeom>
        <a:solidFill>
          <a:srgbClr val="C00000"/>
        </a:solidFill>
        <a:ln w="1270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t>Waste (AVOID)</a:t>
          </a:r>
        </a:p>
      </xdr:txBody>
    </xdr:sp>
    <xdr:clientData/>
  </xdr:twoCellAnchor>
  <xdr:twoCellAnchor>
    <xdr:from>
      <xdr:col>4</xdr:col>
      <xdr:colOff>1752600</xdr:colOff>
      <xdr:row>17</xdr:row>
      <xdr:rowOff>114300</xdr:rowOff>
    </xdr:from>
    <xdr:to>
      <xdr:col>7</xdr:col>
      <xdr:colOff>190500</xdr:colOff>
      <xdr:row>18</xdr:row>
      <xdr:rowOff>180975</xdr:rowOff>
    </xdr:to>
    <xdr:sp macro="[0]!LoadForm" textlink="">
      <xdr:nvSpPr>
        <xdr:cNvPr id="2" name="Rectángulo redondeado 1"/>
        <xdr:cNvSpPr/>
      </xdr:nvSpPr>
      <xdr:spPr>
        <a:xfrm>
          <a:off x="5010150" y="3352800"/>
          <a:ext cx="1581150" cy="25717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Add New Task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StatusOptions" displayName="StatusOptions" ref="A12:A15" totalsRowShown="0">
  <autoFilter ref="A12:A15"/>
  <tableColumns count="1">
    <tableColumn id="1" name="Satatus O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E20" totalsRowShown="0" headerRowDxfId="7" headerRowBorderDxfId="6" tableBorderDxfId="5" totalsRowBorderDxfId="4">
  <autoFilter ref="B2:E20"/>
  <sortState ref="B3:E20">
    <sortCondition descending="1" ref="E2:E20"/>
  </sortState>
  <tableColumns count="4">
    <tableColumn id="1" name="Activities" dataDxfId="3"/>
    <tableColumn id="2" name="Important" dataDxfId="2"/>
    <tableColumn id="3" name="Urgente" dataDxfId="1"/>
    <tableColumn id="4" name="Statu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5:L14"/>
  <sheetViews>
    <sheetView showGridLines="0" workbookViewId="0">
      <selection activeCell="H22" sqref="H22"/>
    </sheetView>
  </sheetViews>
  <sheetFormatPr baseColWidth="10" defaultRowHeight="15" x14ac:dyDescent="0.25"/>
  <cols>
    <col min="1" max="1" width="1.7109375" customWidth="1"/>
    <col min="2" max="2" width="40.7109375" customWidth="1"/>
    <col min="3" max="3" width="4.7109375" customWidth="1"/>
    <col min="4" max="4" width="1.7109375" customWidth="1"/>
    <col min="5" max="5" width="40.7109375" customWidth="1"/>
    <col min="6" max="6" width="4.7109375" customWidth="1"/>
    <col min="7" max="7" width="1.7109375" customWidth="1"/>
    <col min="8" max="8" width="40.7109375" customWidth="1"/>
    <col min="9" max="9" width="4.7109375" customWidth="1"/>
    <col min="10" max="10" width="1.7109375" customWidth="1"/>
    <col min="11" max="11" width="40.7109375" customWidth="1"/>
    <col min="12" max="12" width="4.7109375" customWidth="1"/>
  </cols>
  <sheetData>
    <row r="5" spans="2:12" x14ac:dyDescent="0.25">
      <c r="B5" s="1"/>
      <c r="C5" s="2"/>
      <c r="E5" s="1"/>
      <c r="F5" s="2"/>
      <c r="H5" s="1"/>
      <c r="I5" s="2"/>
      <c r="K5" s="1"/>
      <c r="L5" s="2"/>
    </row>
    <row r="6" spans="2:12" x14ac:dyDescent="0.25">
      <c r="B6" s="3"/>
      <c r="C6" s="4"/>
      <c r="E6" s="3"/>
      <c r="F6" s="4"/>
      <c r="H6" s="3"/>
      <c r="I6" s="4"/>
      <c r="K6" s="3"/>
      <c r="L6" s="4"/>
    </row>
    <row r="7" spans="2:12" x14ac:dyDescent="0.25">
      <c r="B7" s="3"/>
      <c r="C7" s="4"/>
      <c r="E7" s="3"/>
      <c r="F7" s="4"/>
      <c r="H7" s="3"/>
      <c r="I7" s="4"/>
      <c r="K7" s="3"/>
      <c r="L7" s="4"/>
    </row>
    <row r="8" spans="2:12" x14ac:dyDescent="0.25">
      <c r="B8" s="3"/>
      <c r="C8" s="4"/>
      <c r="E8" s="3"/>
      <c r="F8" s="4"/>
      <c r="H8" s="3"/>
      <c r="I8" s="4"/>
      <c r="K8" s="3"/>
      <c r="L8" s="4"/>
    </row>
    <row r="9" spans="2:12" x14ac:dyDescent="0.25">
      <c r="B9" s="3"/>
      <c r="C9" s="4"/>
      <c r="E9" s="3"/>
      <c r="F9" s="4"/>
      <c r="H9" s="3"/>
      <c r="I9" s="4"/>
      <c r="K9" s="3"/>
      <c r="L9" s="4"/>
    </row>
    <row r="10" spans="2:12" x14ac:dyDescent="0.25">
      <c r="B10" s="3"/>
      <c r="C10" s="4"/>
      <c r="E10" s="3"/>
      <c r="F10" s="4"/>
      <c r="H10" s="3"/>
      <c r="I10" s="4"/>
      <c r="K10" s="3"/>
      <c r="L10" s="4"/>
    </row>
    <row r="11" spans="2:12" x14ac:dyDescent="0.25">
      <c r="B11" s="3"/>
      <c r="C11" s="4"/>
      <c r="E11" s="3"/>
      <c r="F11" s="4"/>
      <c r="H11" s="3"/>
      <c r="I11" s="4"/>
      <c r="K11" s="3"/>
      <c r="L11" s="4"/>
    </row>
    <row r="12" spans="2:12" x14ac:dyDescent="0.25">
      <c r="B12" s="3"/>
      <c r="C12" s="4"/>
      <c r="E12" s="3"/>
      <c r="F12" s="4"/>
      <c r="H12" s="3"/>
      <c r="I12" s="4"/>
      <c r="K12" s="3"/>
      <c r="L12" s="4"/>
    </row>
    <row r="13" spans="2:12" x14ac:dyDescent="0.25">
      <c r="B13" s="3"/>
      <c r="C13" s="4"/>
      <c r="E13" s="3"/>
      <c r="F13" s="4"/>
      <c r="H13" s="3"/>
      <c r="I13" s="4"/>
      <c r="K13" s="3"/>
      <c r="L13" s="4"/>
    </row>
    <row r="14" spans="2:12" x14ac:dyDescent="0.25">
      <c r="B14" s="5"/>
      <c r="C14" s="6"/>
      <c r="E14" s="5"/>
      <c r="F14" s="6"/>
      <c r="H14" s="5"/>
      <c r="I14" s="6"/>
      <c r="K14" s="5"/>
      <c r="L14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croll Bar 2">
              <controlPr defaultSize="0" autoPict="0">
                <anchor moveWithCells="1">
                  <from>
                    <xdr:col>2</xdr:col>
                    <xdr:colOff>114300</xdr:colOff>
                    <xdr:row>4</xdr:row>
                    <xdr:rowOff>38100</xdr:rowOff>
                  </from>
                  <to>
                    <xdr:col>2</xdr:col>
                    <xdr:colOff>276225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5</xdr:col>
                    <xdr:colOff>123825</xdr:colOff>
                    <xdr:row>4</xdr:row>
                    <xdr:rowOff>38100</xdr:rowOff>
                  </from>
                  <to>
                    <xdr:col>5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croll Bar 5">
              <controlPr defaultSize="0" autoPict="0">
                <anchor moveWithCells="1">
                  <from>
                    <xdr:col>8</xdr:col>
                    <xdr:colOff>66675</xdr:colOff>
                    <xdr:row>4</xdr:row>
                    <xdr:rowOff>38100</xdr:rowOff>
                  </from>
                  <to>
                    <xdr:col>8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croll Bar 6">
              <controlPr defaultSize="0" autoPict="0">
                <anchor moveWithCells="1">
                  <from>
                    <xdr:col>11</xdr:col>
                    <xdr:colOff>114300</xdr:colOff>
                    <xdr:row>4</xdr:row>
                    <xdr:rowOff>38100</xdr:rowOff>
                  </from>
                  <to>
                    <xdr:col>11</xdr:col>
                    <xdr:colOff>276225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R52"/>
  <sheetViews>
    <sheetView showGridLines="0" tabSelected="1" zoomScale="84" zoomScaleNormal="84" workbookViewId="0">
      <selection activeCell="O3" sqref="O3"/>
    </sheetView>
  </sheetViews>
  <sheetFormatPr baseColWidth="10" defaultRowHeight="15" x14ac:dyDescent="0.25"/>
  <cols>
    <col min="1" max="1" width="24.5703125" bestFit="1" customWidth="1"/>
    <col min="2" max="2" width="4" bestFit="1" customWidth="1"/>
    <col min="4" max="4" width="4.28515625" customWidth="1"/>
    <col min="5" max="5" width="17.7109375" bestFit="1" customWidth="1"/>
    <col min="6" max="6" width="9.85546875" bestFit="1" customWidth="1"/>
    <col min="8" max="8" width="15.28515625" bestFit="1" customWidth="1"/>
    <col min="10" max="10" width="18" bestFit="1" customWidth="1"/>
    <col min="15" max="18" width="19.7109375" customWidth="1"/>
  </cols>
  <sheetData>
    <row r="2" spans="1:18" x14ac:dyDescent="0.25">
      <c r="B2" t="s">
        <v>4</v>
      </c>
      <c r="E2" s="15" t="s">
        <v>16</v>
      </c>
      <c r="F2" s="15" t="s">
        <v>11</v>
      </c>
      <c r="G2" s="15" t="s">
        <v>17</v>
      </c>
      <c r="H2" s="15" t="s">
        <v>18</v>
      </c>
      <c r="J2" s="15" t="s">
        <v>16</v>
      </c>
      <c r="K2" s="15" t="s">
        <v>11</v>
      </c>
      <c r="L2" s="15" t="s">
        <v>17</v>
      </c>
      <c r="M2" s="15" t="s">
        <v>18</v>
      </c>
      <c r="O2" s="23" t="s">
        <v>20</v>
      </c>
      <c r="P2" s="23" t="s">
        <v>11</v>
      </c>
      <c r="Q2" s="23" t="s">
        <v>17</v>
      </c>
      <c r="R2" s="23" t="s">
        <v>18</v>
      </c>
    </row>
    <row r="3" spans="1:18" x14ac:dyDescent="0.25">
      <c r="B3" t="s">
        <v>5</v>
      </c>
      <c r="C3" t="b">
        <f>IF('To Do List Sorted'!$E3=Hoja2!$A$15,TRUE,FALSE)</f>
        <v>0</v>
      </c>
      <c r="E3" s="8" t="str">
        <f>IF(AND('To Do List Sorted'!C3="Yes",'To Do List Sorted'!D3="Yes"),'To Do List Sorted'!B3,"")</f>
        <v/>
      </c>
      <c r="F3" s="8" t="str">
        <f>IF(AND('To Do List Sorted'!C3="Yes",'To Do List Sorted'!D3="No"),'To Do List Sorted'!B3,"")</f>
        <v/>
      </c>
      <c r="G3" s="8" t="str">
        <f>IF(AND('To Do List Sorted'!C3="No",'To Do List Sorted'!D3="Yes"),'To Do List Sorted'!B3,"")</f>
        <v>llamer evis</v>
      </c>
      <c r="H3" s="8" t="str">
        <f>IF(AND('To Do List Sorted'!C3="No",'To Do List Sorted'!D3="No"),'To Do List Sorted'!B3,"")</f>
        <v/>
      </c>
      <c r="J3" s="8" t="str">
        <f>IF(E3&lt;&gt;"",ROWS($I$3:I3),"")</f>
        <v/>
      </c>
      <c r="K3" s="8" t="str">
        <f>IF(F3&lt;&gt;"",ROWS($I$3:J3),"")</f>
        <v/>
      </c>
      <c r="L3" s="8">
        <f>IF(G3&lt;&gt;"",ROWS($I$3:K3),"")</f>
        <v>1</v>
      </c>
      <c r="M3" s="8" t="str">
        <f>IF(H3&lt;&gt;"",ROWS($I$3:L3),"")</f>
        <v/>
      </c>
      <c r="N3" s="24" t="e">
        <f>INDEX(($C$3:$C$52),SMALL($J$3:$J$52,ROWS($S$3:S3)+$B$6-1))</f>
        <v>#NUM!</v>
      </c>
    </row>
    <row r="4" spans="1:18" x14ac:dyDescent="0.25">
      <c r="C4" t="b">
        <f>IF('To Do List Sorted'!$E4=Hoja2!$A$15,TRUE,FALSE)</f>
        <v>0</v>
      </c>
      <c r="E4" s="8" t="str">
        <f>IF(AND('To Do List Sorted'!C4="Yes",'To Do List Sorted'!D4="Yes"),'To Do List Sorted'!B4,"")</f>
        <v/>
      </c>
      <c r="F4" s="8" t="str">
        <f>IF(AND('To Do List Sorted'!C4="Yes",'To Do List Sorted'!D4="No"),'To Do List Sorted'!B4,"")</f>
        <v/>
      </c>
      <c r="G4" s="8" t="str">
        <f>IF(AND('To Do List Sorted'!C4="No",'To Do List Sorted'!D4="Yes"),'To Do List Sorted'!B4,"")</f>
        <v/>
      </c>
      <c r="H4" s="8" t="str">
        <f>IF(AND('To Do List Sorted'!C4="No",'To Do List Sorted'!D4="No"),'To Do List Sorted'!B4,"")</f>
        <v>conquistar evis</v>
      </c>
      <c r="J4" s="8" t="str">
        <f>IF(E4&lt;&gt;"",ROWS($I$3:I4),"")</f>
        <v/>
      </c>
      <c r="K4" s="8" t="str">
        <f>IF(F4&lt;&gt;"",ROWS($I$3:J4),"")</f>
        <v/>
      </c>
      <c r="L4" s="8" t="str">
        <f>IF(G4&lt;&gt;"",ROWS($I$3:K4),"")</f>
        <v/>
      </c>
      <c r="M4" s="8">
        <f>IF(H4&lt;&gt;"",ROWS($I$3:L4),"")</f>
        <v>2</v>
      </c>
      <c r="N4" s="24" t="e">
        <f>INDEX(($C$3:$C$52),SMALL($J$3:$J$52,ROWS($S$3:S4)+$B$6-1))</f>
        <v>#NUM!</v>
      </c>
    </row>
    <row r="5" spans="1:18" x14ac:dyDescent="0.25">
      <c r="C5" t="b">
        <f>IF('To Do List Sorted'!$E5=Hoja2!$A$15,TRUE,FALSE)</f>
        <v>0</v>
      </c>
      <c r="E5" s="8" t="str">
        <f>IF(AND('To Do List Sorted'!C5="Yes",'To Do List Sorted'!D5="Yes"),'To Do List Sorted'!B5,"")</f>
        <v>coger a evis</v>
      </c>
      <c r="F5" s="8" t="str">
        <f>IF(AND('To Do List Sorted'!C5="Yes",'To Do List Sorted'!D5="No"),'To Do List Sorted'!B5,"")</f>
        <v/>
      </c>
      <c r="G5" s="8" t="str">
        <f>IF(AND('To Do List Sorted'!C5="No",'To Do List Sorted'!D5="Yes"),'To Do List Sorted'!B5,"")</f>
        <v/>
      </c>
      <c r="H5" s="8" t="str">
        <f>IF(AND('To Do List Sorted'!C5="No",'To Do List Sorted'!D5="No"),'To Do List Sorted'!B5,"")</f>
        <v/>
      </c>
      <c r="J5" s="8">
        <f>IF(E5&lt;&gt;"",ROWS($I$3:I5),"")</f>
        <v>3</v>
      </c>
      <c r="K5" s="8" t="str">
        <f>IF(F5&lt;&gt;"",ROWS($I$3:J5),"")</f>
        <v/>
      </c>
      <c r="L5" s="8" t="str">
        <f>IF(G5&lt;&gt;"",ROWS($I$3:K5),"")</f>
        <v/>
      </c>
      <c r="M5" s="8" t="str">
        <f>IF(H5&lt;&gt;"",ROWS($I$3:L5),"")</f>
        <v/>
      </c>
      <c r="N5" s="24" t="e">
        <f>INDEX(($C$3:$C$52),SMALL($J$3:$J$52,ROWS($S$3:S5)+$B$6-1))</f>
        <v>#NUM!</v>
      </c>
    </row>
    <row r="6" spans="1:18" x14ac:dyDescent="0.25">
      <c r="A6" t="s">
        <v>0</v>
      </c>
      <c r="B6">
        <v>11</v>
      </c>
      <c r="C6" t="b">
        <f>IF('To Do List Sorted'!$E6=Hoja2!$A$15,TRUE,FALSE)</f>
        <v>0</v>
      </c>
      <c r="E6" s="8" t="str">
        <f>IF(AND('To Do List Sorted'!C6="Yes",'To Do List Sorted'!D6="Yes"),'To Do List Sorted'!B6,"")</f>
        <v/>
      </c>
      <c r="F6" s="8" t="str">
        <f>IF(AND('To Do List Sorted'!C6="Yes",'To Do List Sorted'!D6="No"),'To Do List Sorted'!B6,"")</f>
        <v/>
      </c>
      <c r="G6" s="8" t="str">
        <f>IF(AND('To Do List Sorted'!C6="No",'To Do List Sorted'!D6="Yes"),'To Do List Sorted'!B6,"")</f>
        <v/>
      </c>
      <c r="H6" s="8" t="str">
        <f>IF(AND('To Do List Sorted'!C6="No",'To Do List Sorted'!D6="No"),'To Do List Sorted'!B6,"")</f>
        <v/>
      </c>
      <c r="J6" s="8" t="str">
        <f>IF(E6&lt;&gt;"",ROWS($I$3:I6),"")</f>
        <v/>
      </c>
      <c r="K6" s="8" t="str">
        <f>IF(F6&lt;&gt;"",ROWS($I$3:J6),"")</f>
        <v/>
      </c>
      <c r="L6" s="8" t="str">
        <f>IF(G6&lt;&gt;"",ROWS($I$3:K6),"")</f>
        <v/>
      </c>
      <c r="M6" s="8" t="str">
        <f>IF(H6&lt;&gt;"",ROWS($I$3:L6),"")</f>
        <v/>
      </c>
      <c r="N6" s="24" t="e">
        <f>INDEX(($C$3:$C$52),SMALL($J$3:$J$52,ROWS($S$3:S6)+$B$6-1))</f>
        <v>#NUM!</v>
      </c>
    </row>
    <row r="7" spans="1:18" x14ac:dyDescent="0.25">
      <c r="A7" t="s">
        <v>1</v>
      </c>
      <c r="B7">
        <v>6</v>
      </c>
      <c r="C7" t="b">
        <f>IF('To Do List Sorted'!$E7=Hoja2!$A$15,TRUE,FALSE)</f>
        <v>0</v>
      </c>
      <c r="E7" s="8" t="str">
        <f>IF(AND('To Do List Sorted'!C7="Yes",'To Do List Sorted'!D7="Yes"),'To Do List Sorted'!B7,"")</f>
        <v/>
      </c>
      <c r="F7" s="8" t="str">
        <f>IF(AND('To Do List Sorted'!C7="Yes",'To Do List Sorted'!D7="No"),'To Do List Sorted'!B7,"")</f>
        <v/>
      </c>
      <c r="G7" s="8" t="str">
        <f>IF(AND('To Do List Sorted'!C7="No",'To Do List Sorted'!D7="Yes"),'To Do List Sorted'!B7,"")</f>
        <v/>
      </c>
      <c r="H7" s="8" t="str">
        <f>IF(AND('To Do List Sorted'!C7="No",'To Do List Sorted'!D7="No"),'To Do List Sorted'!B7,"")</f>
        <v/>
      </c>
      <c r="J7" s="8" t="str">
        <f>IF(E7&lt;&gt;"",ROWS($I$3:I7),"")</f>
        <v/>
      </c>
      <c r="K7" s="8" t="str">
        <f>IF(F7&lt;&gt;"",ROWS($I$3:J7),"")</f>
        <v/>
      </c>
      <c r="L7" s="8" t="str">
        <f>IF(G7&lt;&gt;"",ROWS($I$3:K7),"")</f>
        <v/>
      </c>
      <c r="M7" s="8" t="str">
        <f>IF(H7&lt;&gt;"",ROWS($I$3:L7),"")</f>
        <v/>
      </c>
      <c r="N7" s="24" t="e">
        <f>INDEX(($C$3:$C$52),SMALL($J$3:$J$52,ROWS($S$3:S7)+$B$6-1))</f>
        <v>#NUM!</v>
      </c>
    </row>
    <row r="8" spans="1:18" x14ac:dyDescent="0.25">
      <c r="A8" t="s">
        <v>2</v>
      </c>
      <c r="B8">
        <v>1</v>
      </c>
      <c r="C8" t="b">
        <f>IF('To Do List Sorted'!$E8=Hoja2!$A$15,TRUE,FALSE)</f>
        <v>0</v>
      </c>
      <c r="E8" s="8" t="str">
        <f>IF(AND('To Do List Sorted'!C8="Yes",'To Do List Sorted'!D8="Yes"),'To Do List Sorted'!B8,"")</f>
        <v/>
      </c>
      <c r="F8" s="8" t="str">
        <f>IF(AND('To Do List Sorted'!C8="Yes",'To Do List Sorted'!D8="No"),'To Do List Sorted'!B8,"")</f>
        <v/>
      </c>
      <c r="G8" s="8" t="str">
        <f>IF(AND('To Do List Sorted'!C8="No",'To Do List Sorted'!D8="Yes"),'To Do List Sorted'!B8,"")</f>
        <v/>
      </c>
      <c r="H8" s="8" t="str">
        <f>IF(AND('To Do List Sorted'!C8="No",'To Do List Sorted'!D8="No"),'To Do List Sorted'!B8,"")</f>
        <v/>
      </c>
      <c r="J8" s="8" t="str">
        <f>IF(E8&lt;&gt;"",ROWS($I$3:I8),"")</f>
        <v/>
      </c>
      <c r="K8" s="8" t="str">
        <f>IF(F8&lt;&gt;"",ROWS($I$3:J8),"")</f>
        <v/>
      </c>
      <c r="L8" s="8" t="str">
        <f>IF(G8&lt;&gt;"",ROWS($I$3:K8),"")</f>
        <v/>
      </c>
      <c r="M8" s="8" t="str">
        <f>IF(H8&lt;&gt;"",ROWS($I$3:L8),"")</f>
        <v/>
      </c>
      <c r="N8" s="24" t="e">
        <f>INDEX(($C$3:$C$52),SMALL($J$3:$J$52,ROWS($S$3:S8)+$B$6-1))</f>
        <v>#NUM!</v>
      </c>
    </row>
    <row r="9" spans="1:18" x14ac:dyDescent="0.25">
      <c r="A9" t="s">
        <v>3</v>
      </c>
      <c r="B9">
        <v>1</v>
      </c>
      <c r="C9" t="b">
        <f>IF('To Do List Sorted'!$E9=Hoja2!$A$15,TRUE,FALSE)</f>
        <v>0</v>
      </c>
      <c r="E9" s="8" t="str">
        <f>IF(AND('To Do List Sorted'!C9="Yes",'To Do List Sorted'!D9="Yes"),'To Do List Sorted'!B9,"")</f>
        <v/>
      </c>
      <c r="F9" s="8" t="str">
        <f>IF(AND('To Do List Sorted'!C9="Yes",'To Do List Sorted'!D9="No"),'To Do List Sorted'!B9,"")</f>
        <v/>
      </c>
      <c r="G9" s="8" t="str">
        <f>IF(AND('To Do List Sorted'!C9="No",'To Do List Sorted'!D9="Yes"),'To Do List Sorted'!B9,"")</f>
        <v/>
      </c>
      <c r="H9" s="8" t="str">
        <f>IF(AND('To Do List Sorted'!C9="No",'To Do List Sorted'!D9="No"),'To Do List Sorted'!B9,"")</f>
        <v/>
      </c>
      <c r="J9" s="8" t="str">
        <f>IF(E9&lt;&gt;"",ROWS($I$3:I9),"")</f>
        <v/>
      </c>
      <c r="K9" s="8" t="str">
        <f>IF(F9&lt;&gt;"",ROWS($I$3:J9),"")</f>
        <v/>
      </c>
      <c r="L9" s="8" t="str">
        <f>IF(G9&lt;&gt;"",ROWS($I$3:K9),"")</f>
        <v/>
      </c>
      <c r="M9" s="8" t="str">
        <f>IF(H9&lt;&gt;"",ROWS($I$3:L9),"")</f>
        <v/>
      </c>
      <c r="N9" s="24" t="e">
        <f>INDEX(($C$3:$C$52),SMALL($J$3:$J$52,ROWS($S$3:S9)+$B$6-1))</f>
        <v>#NUM!</v>
      </c>
    </row>
    <row r="10" spans="1:18" x14ac:dyDescent="0.25">
      <c r="C10" t="b">
        <f>IF('To Do List Sorted'!$E10=Hoja2!$A$15,TRUE,FALSE)</f>
        <v>0</v>
      </c>
      <c r="E10" s="8" t="str">
        <f>IF(AND('To Do List Sorted'!C10="Yes",'To Do List Sorted'!D10="Yes"),'To Do List Sorted'!B10,"")</f>
        <v/>
      </c>
      <c r="F10" s="8" t="str">
        <f>IF(AND('To Do List Sorted'!C10="Yes",'To Do List Sorted'!D10="No"),'To Do List Sorted'!B10,"")</f>
        <v/>
      </c>
      <c r="G10" s="8" t="str">
        <f>IF(AND('To Do List Sorted'!C10="No",'To Do List Sorted'!D10="Yes"),'To Do List Sorted'!B10,"")</f>
        <v/>
      </c>
      <c r="H10" s="8" t="str">
        <f>IF(AND('To Do List Sorted'!C10="No",'To Do List Sorted'!D10="No"),'To Do List Sorted'!B10,"")</f>
        <v/>
      </c>
      <c r="J10" s="8" t="str">
        <f>IF(E10&lt;&gt;"",ROWS($I$3:I10),"")</f>
        <v/>
      </c>
      <c r="K10" s="8" t="str">
        <f>IF(F10&lt;&gt;"",ROWS($I$3:J10),"")</f>
        <v/>
      </c>
      <c r="L10" s="8" t="str">
        <f>IF(G10&lt;&gt;"",ROWS($I$3:K10),"")</f>
        <v/>
      </c>
      <c r="M10" s="8" t="str">
        <f>IF(H10&lt;&gt;"",ROWS($I$3:L10),"")</f>
        <v/>
      </c>
      <c r="N10" s="24" t="e">
        <f>INDEX(($C$3:$C$52),SMALL($J$3:$J$52,ROWS($S$3:S10)+$B$6-1))</f>
        <v>#NUM!</v>
      </c>
    </row>
    <row r="11" spans="1:18" x14ac:dyDescent="0.25">
      <c r="C11" t="b">
        <f>IF('To Do List Sorted'!$E11=Hoja2!$A$15,TRUE,FALSE)</f>
        <v>0</v>
      </c>
      <c r="E11" s="8" t="str">
        <f>IF(AND('To Do List Sorted'!C11="Yes",'To Do List Sorted'!D11="Yes"),'To Do List Sorted'!B11,"")</f>
        <v/>
      </c>
      <c r="F11" s="8" t="str">
        <f>IF(AND('To Do List Sorted'!C11="Yes",'To Do List Sorted'!D11="No"),'To Do List Sorted'!B11,"")</f>
        <v/>
      </c>
      <c r="G11" s="8" t="str">
        <f>IF(AND('To Do List Sorted'!C11="No",'To Do List Sorted'!D11="Yes"),'To Do List Sorted'!B11,"")</f>
        <v/>
      </c>
      <c r="H11" s="8" t="str">
        <f>IF(AND('To Do List Sorted'!C11="No",'To Do List Sorted'!D11="No"),'To Do List Sorted'!B11,"")</f>
        <v/>
      </c>
      <c r="J11" s="8" t="str">
        <f>IF(E11&lt;&gt;"",ROWS($I$3:I11),"")</f>
        <v/>
      </c>
      <c r="K11" s="8" t="str">
        <f>IF(F11&lt;&gt;"",ROWS($I$3:J11),"")</f>
        <v/>
      </c>
      <c r="L11" s="8" t="str">
        <f>IF(G11&lt;&gt;"",ROWS($I$3:K11),"")</f>
        <v/>
      </c>
      <c r="M11" s="8" t="str">
        <f>IF(H11&lt;&gt;"",ROWS($I$3:L11),"")</f>
        <v/>
      </c>
      <c r="N11" s="24" t="e">
        <f>INDEX(($C$3:$C$52),SMALL($J$3:$J$52,ROWS($S$3:S11)+$B$6-1))</f>
        <v>#NUM!</v>
      </c>
    </row>
    <row r="12" spans="1:18" x14ac:dyDescent="0.25">
      <c r="A12" t="s">
        <v>9</v>
      </c>
      <c r="C12" t="b">
        <f>IF('To Do List Sorted'!$E12=Hoja2!$A$15,TRUE,FALSE)</f>
        <v>0</v>
      </c>
      <c r="E12" s="8" t="str">
        <f>IF(AND('To Do List Sorted'!C12="Yes",'To Do List Sorted'!D12="Yes"),'To Do List Sorted'!B12,"")</f>
        <v/>
      </c>
      <c r="F12" s="8" t="str">
        <f>IF(AND('To Do List Sorted'!C12="Yes",'To Do List Sorted'!D12="No"),'To Do List Sorted'!B12,"")</f>
        <v/>
      </c>
      <c r="G12" s="8" t="str">
        <f>IF(AND('To Do List Sorted'!C12="No",'To Do List Sorted'!D12="Yes"),'To Do List Sorted'!B12,"")</f>
        <v/>
      </c>
      <c r="H12" s="8" t="str">
        <f>IF(AND('To Do List Sorted'!C12="No",'To Do List Sorted'!D12="No"),'To Do List Sorted'!B12,"")</f>
        <v/>
      </c>
      <c r="J12" s="8" t="str">
        <f>IF(E12&lt;&gt;"",ROWS($I$3:I12),"")</f>
        <v/>
      </c>
      <c r="K12" s="8" t="str">
        <f>IF(F12&lt;&gt;"",ROWS($I$3:J12),"")</f>
        <v/>
      </c>
      <c r="L12" s="8" t="str">
        <f>IF(G12&lt;&gt;"",ROWS($I$3:K12),"")</f>
        <v/>
      </c>
      <c r="M12" s="8" t="str">
        <f>IF(H12&lt;&gt;"",ROWS($I$3:L12),"")</f>
        <v/>
      </c>
    </row>
    <row r="13" spans="1:18" x14ac:dyDescent="0.25">
      <c r="A13" t="s">
        <v>6</v>
      </c>
      <c r="C13" t="b">
        <f>IF('To Do List Sorted'!$E13=Hoja2!$A$15,TRUE,FALSE)</f>
        <v>0</v>
      </c>
      <c r="E13" s="8" t="str">
        <f>IF(AND('To Do List Sorted'!C13="Yes",'To Do List Sorted'!D13="Yes"),'To Do List Sorted'!B13,"")</f>
        <v/>
      </c>
      <c r="F13" s="8" t="str">
        <f>IF(AND('To Do List Sorted'!C13="Yes",'To Do List Sorted'!D13="No"),'To Do List Sorted'!B13,"")</f>
        <v/>
      </c>
      <c r="G13" s="8" t="str">
        <f>IF(AND('To Do List Sorted'!C13="No",'To Do List Sorted'!D13="Yes"),'To Do List Sorted'!B13,"")</f>
        <v/>
      </c>
      <c r="H13" s="8" t="str">
        <f>IF(AND('To Do List Sorted'!C13="No",'To Do List Sorted'!D13="No"),'To Do List Sorted'!B13,"")</f>
        <v/>
      </c>
      <c r="J13" s="8" t="str">
        <f>IF(E13&lt;&gt;"",ROWS($I$3:I13),"")</f>
        <v/>
      </c>
      <c r="K13" s="8" t="str">
        <f>IF(F13&lt;&gt;"",ROWS($I$3:J13),"")</f>
        <v/>
      </c>
      <c r="L13" s="8" t="str">
        <f>IF(G13&lt;&gt;"",ROWS($I$3:K13),"")</f>
        <v/>
      </c>
      <c r="M13" s="8" t="str">
        <f>IF(H13&lt;&gt;"",ROWS($I$3:L13),"")</f>
        <v/>
      </c>
    </row>
    <row r="14" spans="1:18" x14ac:dyDescent="0.25">
      <c r="A14" t="s">
        <v>7</v>
      </c>
      <c r="C14" t="b">
        <f>IF('To Do List Sorted'!$E14=Hoja2!$A$15,TRUE,FALSE)</f>
        <v>0</v>
      </c>
      <c r="E14" s="8" t="str">
        <f>IF(AND('To Do List Sorted'!C14="Yes",'To Do List Sorted'!D14="Yes"),'To Do List Sorted'!B14,"")</f>
        <v/>
      </c>
      <c r="F14" s="8" t="str">
        <f>IF(AND('To Do List Sorted'!C14="Yes",'To Do List Sorted'!D14="No"),'To Do List Sorted'!B14,"")</f>
        <v/>
      </c>
      <c r="G14" s="8" t="str">
        <f>IF(AND('To Do List Sorted'!C14="No",'To Do List Sorted'!D14="Yes"),'To Do List Sorted'!B14,"")</f>
        <v/>
      </c>
      <c r="H14" s="8" t="str">
        <f>IF(AND('To Do List Sorted'!C14="No",'To Do List Sorted'!D14="No"),'To Do List Sorted'!B14,"")</f>
        <v/>
      </c>
      <c r="J14" s="8" t="str">
        <f>IF(E14&lt;&gt;"",ROWS($I$3:I14),"")</f>
        <v/>
      </c>
      <c r="K14" s="8" t="str">
        <f>IF(F14&lt;&gt;"",ROWS($I$3:J14),"")</f>
        <v/>
      </c>
      <c r="L14" s="8" t="str">
        <f>IF(G14&lt;&gt;"",ROWS($I$3:K14),"")</f>
        <v/>
      </c>
      <c r="M14" s="8" t="str">
        <f>IF(H14&lt;&gt;"",ROWS($I$3:L14),"")</f>
        <v/>
      </c>
    </row>
    <row r="15" spans="1:18" x14ac:dyDescent="0.25">
      <c r="A15" t="s">
        <v>8</v>
      </c>
      <c r="C15" t="b">
        <f>IF('To Do List Sorted'!$E15=Hoja2!$A$15,TRUE,FALSE)</f>
        <v>0</v>
      </c>
      <c r="E15" s="8" t="str">
        <f>IF(AND('To Do List Sorted'!C15="Yes",'To Do List Sorted'!D15="Yes"),'To Do List Sorted'!B15,"")</f>
        <v/>
      </c>
      <c r="F15" s="8" t="str">
        <f>IF(AND('To Do List Sorted'!C15="Yes",'To Do List Sorted'!D15="No"),'To Do List Sorted'!B15,"")</f>
        <v/>
      </c>
      <c r="G15" s="8" t="str">
        <f>IF(AND('To Do List Sorted'!C15="No",'To Do List Sorted'!D15="Yes"),'To Do List Sorted'!B15,"")</f>
        <v/>
      </c>
      <c r="H15" s="8" t="str">
        <f>IF(AND('To Do List Sorted'!C15="No",'To Do List Sorted'!D15="No"),'To Do List Sorted'!B15,"")</f>
        <v/>
      </c>
      <c r="J15" s="8" t="str">
        <f>IF(E15&lt;&gt;"",ROWS($I$3:I15),"")</f>
        <v/>
      </c>
      <c r="K15" s="8" t="str">
        <f>IF(F15&lt;&gt;"",ROWS($I$3:J15),"")</f>
        <v/>
      </c>
      <c r="L15" s="8" t="str">
        <f>IF(G15&lt;&gt;"",ROWS($I$3:K15),"")</f>
        <v/>
      </c>
      <c r="M15" s="8" t="str">
        <f>IF(H15&lt;&gt;"",ROWS($I$3:L15),"")</f>
        <v/>
      </c>
    </row>
    <row r="16" spans="1:18" x14ac:dyDescent="0.25">
      <c r="C16" t="b">
        <f>IF('To Do List Sorted'!$E16=Hoja2!$A$15,TRUE,FALSE)</f>
        <v>0</v>
      </c>
      <c r="E16" s="8" t="str">
        <f>IF(AND('To Do List Sorted'!C16="Yes",'To Do List Sorted'!D16="Yes"),'To Do List Sorted'!B16,"")</f>
        <v/>
      </c>
      <c r="F16" s="8" t="str">
        <f>IF(AND('To Do List Sorted'!C16="Yes",'To Do List Sorted'!D16="No"),'To Do List Sorted'!B16,"")</f>
        <v/>
      </c>
      <c r="G16" s="8" t="str">
        <f>IF(AND('To Do List Sorted'!C16="No",'To Do List Sorted'!D16="Yes"),'To Do List Sorted'!B16,"")</f>
        <v/>
      </c>
      <c r="H16" s="8" t="str">
        <f>IF(AND('To Do List Sorted'!C16="No",'To Do List Sorted'!D16="No"),'To Do List Sorted'!B16,"")</f>
        <v/>
      </c>
      <c r="J16" s="8" t="str">
        <f>IF(E16&lt;&gt;"",ROWS($I$3:I16),"")</f>
        <v/>
      </c>
      <c r="K16" s="8" t="str">
        <f>IF(F16&lt;&gt;"",ROWS($I$3:J16),"")</f>
        <v/>
      </c>
      <c r="L16" s="8" t="str">
        <f>IF(G16&lt;&gt;"",ROWS($I$3:K16),"")</f>
        <v/>
      </c>
      <c r="M16" s="8" t="str">
        <f>IF(H16&lt;&gt;"",ROWS($I$3:L16),"")</f>
        <v/>
      </c>
    </row>
    <row r="17" spans="1:13" x14ac:dyDescent="0.25">
      <c r="C17" t="b">
        <f>IF('To Do List Sorted'!$E17=Hoja2!$A$15,TRUE,FALSE)</f>
        <v>0</v>
      </c>
      <c r="E17" s="8" t="str">
        <f>IF(AND('To Do List Sorted'!C17="Yes",'To Do List Sorted'!D17="Yes"),'To Do List Sorted'!B17,"")</f>
        <v/>
      </c>
      <c r="F17" s="8" t="str">
        <f>IF(AND('To Do List Sorted'!C17="Yes",'To Do List Sorted'!D17="No"),'To Do List Sorted'!B17,"")</f>
        <v/>
      </c>
      <c r="G17" s="8" t="str">
        <f>IF(AND('To Do List Sorted'!C17="No",'To Do List Sorted'!D17="Yes"),'To Do List Sorted'!B17,"")</f>
        <v/>
      </c>
      <c r="H17" s="8" t="str">
        <f>IF(AND('To Do List Sorted'!C17="No",'To Do List Sorted'!D17="No"),'To Do List Sorted'!B17,"")</f>
        <v/>
      </c>
      <c r="J17" s="8" t="str">
        <f>IF(E17&lt;&gt;"",ROWS($I$3:I17),"")</f>
        <v/>
      </c>
      <c r="K17" s="8" t="str">
        <f>IF(F17&lt;&gt;"",ROWS($I$3:J17),"")</f>
        <v/>
      </c>
      <c r="L17" s="8" t="str">
        <f>IF(G17&lt;&gt;"",ROWS($I$3:K17),"")</f>
        <v/>
      </c>
      <c r="M17" s="8" t="str">
        <f>IF(H17&lt;&gt;"",ROWS($I$3:L17),"")</f>
        <v/>
      </c>
    </row>
    <row r="18" spans="1:13" x14ac:dyDescent="0.25">
      <c r="A18" t="s">
        <v>4</v>
      </c>
      <c r="C18" t="b">
        <f>IF('To Do List Sorted'!$E18=Hoja2!$A$15,TRUE,FALSE)</f>
        <v>0</v>
      </c>
      <c r="E18" s="8" t="str">
        <f>IF(AND('To Do List Sorted'!C18="Yes",'To Do List Sorted'!D18="Yes"),'To Do List Sorted'!B18,"")</f>
        <v/>
      </c>
      <c r="F18" s="8" t="str">
        <f>IF(AND('To Do List Sorted'!C18="Yes",'To Do List Sorted'!D18="No"),'To Do List Sorted'!B18,"")</f>
        <v/>
      </c>
      <c r="G18" s="8" t="str">
        <f>IF(AND('To Do List Sorted'!C18="No",'To Do List Sorted'!D18="Yes"),'To Do List Sorted'!B18,"")</f>
        <v/>
      </c>
      <c r="H18" s="8" t="str">
        <f>IF(AND('To Do List Sorted'!C18="No",'To Do List Sorted'!D18="No"),'To Do List Sorted'!B18,"")</f>
        <v/>
      </c>
      <c r="J18" s="8" t="str">
        <f>IF(E18&lt;&gt;"",ROWS($I$3:I18),"")</f>
        <v/>
      </c>
      <c r="K18" s="8" t="str">
        <f>IF(F18&lt;&gt;"",ROWS($I$3:J18),"")</f>
        <v/>
      </c>
      <c r="L18" s="8" t="str">
        <f>IF(G18&lt;&gt;"",ROWS($I$3:K18),"")</f>
        <v/>
      </c>
      <c r="M18" s="8" t="str">
        <f>IF(H18&lt;&gt;"",ROWS($I$3:L18),"")</f>
        <v/>
      </c>
    </row>
    <row r="19" spans="1:13" x14ac:dyDescent="0.25">
      <c r="A19" t="s">
        <v>5</v>
      </c>
      <c r="C19" t="b">
        <f>IF('To Do List Sorted'!$E19=Hoja2!$A$15,TRUE,FALSE)</f>
        <v>0</v>
      </c>
      <c r="E19" s="8" t="str">
        <f>IF(AND('To Do List Sorted'!C19="Yes",'To Do List Sorted'!D19="Yes"),'To Do List Sorted'!B19,"")</f>
        <v/>
      </c>
      <c r="F19" s="8" t="str">
        <f>IF(AND('To Do List Sorted'!C19="Yes",'To Do List Sorted'!D19="No"),'To Do List Sorted'!B19,"")</f>
        <v/>
      </c>
      <c r="G19" s="8" t="str">
        <f>IF(AND('To Do List Sorted'!C19="No",'To Do List Sorted'!D19="Yes"),'To Do List Sorted'!B19,"")</f>
        <v/>
      </c>
      <c r="H19" s="8" t="str">
        <f>IF(AND('To Do List Sorted'!C19="No",'To Do List Sorted'!D19="No"),'To Do List Sorted'!B19,"")</f>
        <v/>
      </c>
      <c r="J19" s="8" t="str">
        <f>IF(E19&lt;&gt;"",ROWS($I$3:I19),"")</f>
        <v/>
      </c>
      <c r="K19" s="8" t="str">
        <f>IF(F19&lt;&gt;"",ROWS($I$3:J19),"")</f>
        <v/>
      </c>
      <c r="L19" s="8" t="str">
        <f>IF(G19&lt;&gt;"",ROWS($I$3:K19),"")</f>
        <v/>
      </c>
      <c r="M19" s="8" t="str">
        <f>IF(H19&lt;&gt;"",ROWS($I$3:L19),"")</f>
        <v/>
      </c>
    </row>
    <row r="20" spans="1:13" x14ac:dyDescent="0.25">
      <c r="C20" t="b">
        <f>IF('To Do List Sorted'!$E20=Hoja2!$A$15,TRUE,FALSE)</f>
        <v>0</v>
      </c>
      <c r="E20" s="8" t="str">
        <f>IF(AND('To Do List Sorted'!C20="Yes",'To Do List Sorted'!D20="Yes"),'To Do List Sorted'!B20,"")</f>
        <v/>
      </c>
      <c r="F20" s="8" t="str">
        <f>IF(AND('To Do List Sorted'!C20="Yes",'To Do List Sorted'!D20="No"),'To Do List Sorted'!B20,"")</f>
        <v/>
      </c>
      <c r="G20" s="8" t="str">
        <f>IF(AND('To Do List Sorted'!C20="No",'To Do List Sorted'!D20="Yes"),'To Do List Sorted'!B20,"")</f>
        <v/>
      </c>
      <c r="H20" s="8" t="str">
        <f>IF(AND('To Do List Sorted'!C20="No",'To Do List Sorted'!D20="No"),'To Do List Sorted'!B20,"")</f>
        <v/>
      </c>
      <c r="J20" s="8" t="str">
        <f>IF(E20&lt;&gt;"",ROWS($I$3:I20),"")</f>
        <v/>
      </c>
      <c r="K20" s="8" t="str">
        <f>IF(F20&lt;&gt;"",ROWS($I$3:J20),"")</f>
        <v/>
      </c>
      <c r="L20" s="8" t="str">
        <f>IF(G20&lt;&gt;"",ROWS($I$3:K20),"")</f>
        <v/>
      </c>
      <c r="M20" s="8" t="str">
        <f>IF(H20&lt;&gt;"",ROWS($I$3:L20),"")</f>
        <v/>
      </c>
    </row>
    <row r="21" spans="1:13" x14ac:dyDescent="0.25">
      <c r="C21" t="b">
        <f>IF('To Do List Sorted'!$E21=Hoja2!$A$15,TRUE,FALSE)</f>
        <v>0</v>
      </c>
      <c r="E21" s="8" t="str">
        <f>IF(AND('To Do List Sorted'!C21="Yes",'To Do List Sorted'!D21="Yes"),'To Do List Sorted'!B21,"")</f>
        <v/>
      </c>
      <c r="F21" s="8" t="str">
        <f>IF(AND('To Do List Sorted'!C21="Yes",'To Do List Sorted'!D21="No"),'To Do List Sorted'!B21,"")</f>
        <v/>
      </c>
      <c r="G21" s="8" t="str">
        <f>IF(AND('To Do List Sorted'!C21="No",'To Do List Sorted'!D21="Yes"),'To Do List Sorted'!B21,"")</f>
        <v/>
      </c>
      <c r="H21" s="8" t="str">
        <f>IF(AND('To Do List Sorted'!C21="No",'To Do List Sorted'!D21="No"),'To Do List Sorted'!B21,"")</f>
        <v/>
      </c>
      <c r="J21" s="8" t="str">
        <f>IF(E21&lt;&gt;"",ROWS($I$3:I21),"")</f>
        <v/>
      </c>
      <c r="K21" s="8" t="str">
        <f>IF(F21&lt;&gt;"",ROWS($I$3:J21),"")</f>
        <v/>
      </c>
      <c r="L21" s="8" t="str">
        <f>IF(G21&lt;&gt;"",ROWS($I$3:K21),"")</f>
        <v/>
      </c>
      <c r="M21" s="8" t="str">
        <f>IF(H21&lt;&gt;"",ROWS($I$3:L21),"")</f>
        <v/>
      </c>
    </row>
    <row r="22" spans="1:13" x14ac:dyDescent="0.25">
      <c r="C22" t="b">
        <f>IF('To Do List Sorted'!$E22=Hoja2!$A$15,TRUE,FALSE)</f>
        <v>0</v>
      </c>
      <c r="E22" s="8" t="str">
        <f>IF(AND('To Do List Sorted'!C22="Yes",'To Do List Sorted'!D22="Yes"),'To Do List Sorted'!B22,"")</f>
        <v/>
      </c>
      <c r="F22" s="8" t="str">
        <f>IF(AND('To Do List Sorted'!C22="Yes",'To Do List Sorted'!D22="No"),'To Do List Sorted'!B22,"")</f>
        <v/>
      </c>
      <c r="G22" s="8" t="str">
        <f>IF(AND('To Do List Sorted'!C22="No",'To Do List Sorted'!D22="Yes"),'To Do List Sorted'!B22,"")</f>
        <v/>
      </c>
      <c r="H22" s="8" t="str">
        <f>IF(AND('To Do List Sorted'!C22="No",'To Do List Sorted'!D22="No"),'To Do List Sorted'!B22,"")</f>
        <v/>
      </c>
      <c r="J22" s="8" t="str">
        <f>IF(E22&lt;&gt;"",ROWS($I$3:I22),"")</f>
        <v/>
      </c>
      <c r="K22" s="8" t="str">
        <f>IF(F22&lt;&gt;"",ROWS($I$3:J22),"")</f>
        <v/>
      </c>
      <c r="L22" s="8" t="str">
        <f>IF(G22&lt;&gt;"",ROWS($I$3:K22),"")</f>
        <v/>
      </c>
      <c r="M22" s="8" t="str">
        <f>IF(H22&lt;&gt;"",ROWS($I$3:L22),"")</f>
        <v/>
      </c>
    </row>
    <row r="23" spans="1:13" x14ac:dyDescent="0.25">
      <c r="C23" t="b">
        <f>IF('To Do List Sorted'!$E23=Hoja2!$A$15,TRUE,FALSE)</f>
        <v>0</v>
      </c>
      <c r="E23" s="8" t="str">
        <f>IF(AND('To Do List Sorted'!C23="Yes",'To Do List Sorted'!D23="Yes"),'To Do List Sorted'!B23,"")</f>
        <v/>
      </c>
      <c r="F23" s="8" t="str">
        <f>IF(AND('To Do List Sorted'!C23="Yes",'To Do List Sorted'!D23="No"),'To Do List Sorted'!B23,"")</f>
        <v/>
      </c>
      <c r="G23" s="8" t="str">
        <f>IF(AND('To Do List Sorted'!C23="No",'To Do List Sorted'!D23="Yes"),'To Do List Sorted'!B23,"")</f>
        <v/>
      </c>
      <c r="H23" s="8" t="str">
        <f>IF(AND('To Do List Sorted'!C23="No",'To Do List Sorted'!D23="No"),'To Do List Sorted'!B23,"")</f>
        <v/>
      </c>
      <c r="J23" s="8" t="str">
        <f>IF(E23&lt;&gt;"",ROWS($I$3:I23),"")</f>
        <v/>
      </c>
      <c r="K23" s="8" t="str">
        <f>IF(F23&lt;&gt;"",ROWS($I$3:J23),"")</f>
        <v/>
      </c>
      <c r="L23" s="8" t="str">
        <f>IF(G23&lt;&gt;"",ROWS($I$3:K23),"")</f>
        <v/>
      </c>
      <c r="M23" s="8" t="str">
        <f>IF(H23&lt;&gt;"",ROWS($I$3:L23),"")</f>
        <v/>
      </c>
    </row>
    <row r="24" spans="1:13" x14ac:dyDescent="0.25">
      <c r="C24" t="b">
        <f>IF('To Do List Sorted'!$E24=Hoja2!$A$15,TRUE,FALSE)</f>
        <v>0</v>
      </c>
      <c r="E24" s="8" t="str">
        <f>IF(AND('To Do List Sorted'!C24="Yes",'To Do List Sorted'!D24="Yes"),'To Do List Sorted'!B24,"")</f>
        <v/>
      </c>
      <c r="F24" s="8" t="str">
        <f>IF(AND('To Do List Sorted'!C24="Yes",'To Do List Sorted'!D24="No"),'To Do List Sorted'!B24,"")</f>
        <v/>
      </c>
      <c r="G24" s="8" t="str">
        <f>IF(AND('To Do List Sorted'!C24="No",'To Do List Sorted'!D24="Yes"),'To Do List Sorted'!B24,"")</f>
        <v/>
      </c>
      <c r="H24" s="8" t="str">
        <f>IF(AND('To Do List Sorted'!C24="No",'To Do List Sorted'!D24="No"),'To Do List Sorted'!B24,"")</f>
        <v/>
      </c>
      <c r="J24" s="8" t="str">
        <f>IF(E24&lt;&gt;"",ROWS($I$3:I24),"")</f>
        <v/>
      </c>
      <c r="K24" s="8" t="str">
        <f>IF(F24&lt;&gt;"",ROWS($I$3:J24),"")</f>
        <v/>
      </c>
      <c r="L24" s="8" t="str">
        <f>IF(G24&lt;&gt;"",ROWS($I$3:K24),"")</f>
        <v/>
      </c>
      <c r="M24" s="8" t="str">
        <f>IF(H24&lt;&gt;"",ROWS($I$3:L24),"")</f>
        <v/>
      </c>
    </row>
    <row r="25" spans="1:13" x14ac:dyDescent="0.25">
      <c r="C25" t="b">
        <f>IF('To Do List Sorted'!$E25=Hoja2!$A$15,TRUE,FALSE)</f>
        <v>0</v>
      </c>
      <c r="E25" s="8" t="str">
        <f>IF(AND('To Do List Sorted'!C25="Yes",'To Do List Sorted'!D25="Yes"),'To Do List Sorted'!B25,"")</f>
        <v/>
      </c>
      <c r="F25" s="8" t="str">
        <f>IF(AND('To Do List Sorted'!C25="Yes",'To Do List Sorted'!D25="No"),'To Do List Sorted'!B25,"")</f>
        <v/>
      </c>
      <c r="G25" s="8" t="str">
        <f>IF(AND('To Do List Sorted'!C25="No",'To Do List Sorted'!D25="Yes"),'To Do List Sorted'!B25,"")</f>
        <v/>
      </c>
      <c r="H25" s="8" t="str">
        <f>IF(AND('To Do List Sorted'!C25="No",'To Do List Sorted'!D25="No"),'To Do List Sorted'!B25,"")</f>
        <v/>
      </c>
      <c r="J25" s="8" t="str">
        <f>IF(E25&lt;&gt;"",ROWS($I$3:I25),"")</f>
        <v/>
      </c>
      <c r="K25" s="8" t="str">
        <f>IF(F25&lt;&gt;"",ROWS($I$3:J25),"")</f>
        <v/>
      </c>
      <c r="L25" s="8" t="str">
        <f>IF(G25&lt;&gt;"",ROWS($I$3:K25),"")</f>
        <v/>
      </c>
      <c r="M25" s="8" t="str">
        <f>IF(H25&lt;&gt;"",ROWS($I$3:L25),"")</f>
        <v/>
      </c>
    </row>
    <row r="26" spans="1:13" x14ac:dyDescent="0.25">
      <c r="C26" t="b">
        <f>IF('To Do List Sorted'!$E26=Hoja2!$A$15,TRUE,FALSE)</f>
        <v>0</v>
      </c>
      <c r="E26" s="8" t="str">
        <f>IF(AND('To Do List Sorted'!C26="Yes",'To Do List Sorted'!D26="Yes"),'To Do List Sorted'!B26,"")</f>
        <v/>
      </c>
      <c r="F26" s="8" t="str">
        <f>IF(AND('To Do List Sorted'!C26="Yes",'To Do List Sorted'!D26="No"),'To Do List Sorted'!B26,"")</f>
        <v/>
      </c>
      <c r="G26" s="8" t="str">
        <f>IF(AND('To Do List Sorted'!C26="No",'To Do List Sorted'!D26="Yes"),'To Do List Sorted'!B26,"")</f>
        <v/>
      </c>
      <c r="H26" s="8" t="str">
        <f>IF(AND('To Do List Sorted'!C26="No",'To Do List Sorted'!D26="No"),'To Do List Sorted'!B26,"")</f>
        <v/>
      </c>
      <c r="J26" s="8" t="str">
        <f>IF(E26&lt;&gt;"",ROWS($I$3:I26),"")</f>
        <v/>
      </c>
      <c r="K26" s="8" t="str">
        <f>IF(F26&lt;&gt;"",ROWS($I$3:J26),"")</f>
        <v/>
      </c>
      <c r="L26" s="8" t="str">
        <f>IF(G26&lt;&gt;"",ROWS($I$3:K26),"")</f>
        <v/>
      </c>
      <c r="M26" s="8" t="str">
        <f>IF(H26&lt;&gt;"",ROWS($I$3:L26),"")</f>
        <v/>
      </c>
    </row>
    <row r="27" spans="1:13" x14ac:dyDescent="0.25">
      <c r="C27" t="b">
        <f>IF('To Do List Sorted'!$E27=Hoja2!$A$15,TRUE,FALSE)</f>
        <v>0</v>
      </c>
      <c r="E27" s="8" t="str">
        <f>IF(AND('To Do List Sorted'!C27="Yes",'To Do List Sorted'!D27="Yes"),'To Do List Sorted'!B27,"")</f>
        <v/>
      </c>
      <c r="F27" s="8" t="str">
        <f>IF(AND('To Do List Sorted'!C27="Yes",'To Do List Sorted'!D27="No"),'To Do List Sorted'!B27,"")</f>
        <v/>
      </c>
      <c r="G27" s="8" t="str">
        <f>IF(AND('To Do List Sorted'!C27="No",'To Do List Sorted'!D27="Yes"),'To Do List Sorted'!B27,"")</f>
        <v/>
      </c>
      <c r="H27" s="8" t="str">
        <f>IF(AND('To Do List Sorted'!C27="No",'To Do List Sorted'!D27="No"),'To Do List Sorted'!B27,"")</f>
        <v/>
      </c>
      <c r="J27" s="8" t="str">
        <f>IF(E27&lt;&gt;"",ROWS($I$3:I27),"")</f>
        <v/>
      </c>
      <c r="K27" s="8" t="str">
        <f>IF(F27&lt;&gt;"",ROWS($I$3:J27),"")</f>
        <v/>
      </c>
      <c r="L27" s="8" t="str">
        <f>IF(G27&lt;&gt;"",ROWS($I$3:K27),"")</f>
        <v/>
      </c>
      <c r="M27" s="8" t="str">
        <f>IF(H27&lt;&gt;"",ROWS($I$3:L27),"")</f>
        <v/>
      </c>
    </row>
    <row r="28" spans="1:13" x14ac:dyDescent="0.25">
      <c r="C28" t="b">
        <f>IF('To Do List Sorted'!$E28=Hoja2!$A$15,TRUE,FALSE)</f>
        <v>0</v>
      </c>
      <c r="E28" s="8" t="str">
        <f>IF(AND('To Do List Sorted'!C28="Yes",'To Do List Sorted'!D28="Yes"),'To Do List Sorted'!B28,"")</f>
        <v/>
      </c>
      <c r="F28" s="8" t="str">
        <f>IF(AND('To Do List Sorted'!C28="Yes",'To Do List Sorted'!D28="No"),'To Do List Sorted'!B28,"")</f>
        <v/>
      </c>
      <c r="G28" s="8" t="str">
        <f>IF(AND('To Do List Sorted'!C28="No",'To Do List Sorted'!D28="Yes"),'To Do List Sorted'!B28,"")</f>
        <v/>
      </c>
      <c r="H28" s="8" t="str">
        <f>IF(AND('To Do List Sorted'!C28="No",'To Do List Sorted'!D28="No"),'To Do List Sorted'!B28,"")</f>
        <v/>
      </c>
      <c r="J28" s="8" t="str">
        <f>IF(E28&lt;&gt;"",ROWS($I$3:I28),"")</f>
        <v/>
      </c>
      <c r="K28" s="8" t="str">
        <f>IF(F28&lt;&gt;"",ROWS($I$3:J28),"")</f>
        <v/>
      </c>
      <c r="L28" s="8" t="str">
        <f>IF(G28&lt;&gt;"",ROWS($I$3:K28),"")</f>
        <v/>
      </c>
      <c r="M28" s="8" t="str">
        <f>IF(H28&lt;&gt;"",ROWS($I$3:L28),"")</f>
        <v/>
      </c>
    </row>
    <row r="29" spans="1:13" x14ac:dyDescent="0.25">
      <c r="C29" t="b">
        <f>IF('To Do List Sorted'!$E29=Hoja2!$A$15,TRUE,FALSE)</f>
        <v>0</v>
      </c>
      <c r="E29" s="8" t="str">
        <f>IF(AND('To Do List Sorted'!C29="Yes",'To Do List Sorted'!D29="Yes"),'To Do List Sorted'!B29,"")</f>
        <v/>
      </c>
      <c r="F29" s="8" t="str">
        <f>IF(AND('To Do List Sorted'!C29="Yes",'To Do List Sorted'!D29="No"),'To Do List Sorted'!B29,"")</f>
        <v/>
      </c>
      <c r="G29" s="8" t="str">
        <f>IF(AND('To Do List Sorted'!C29="No",'To Do List Sorted'!D29="Yes"),'To Do List Sorted'!B29,"")</f>
        <v/>
      </c>
      <c r="H29" s="8" t="str">
        <f>IF(AND('To Do List Sorted'!C29="No",'To Do List Sorted'!D29="No"),'To Do List Sorted'!B29,"")</f>
        <v/>
      </c>
      <c r="J29" s="8" t="str">
        <f>IF(E29&lt;&gt;"",ROWS($I$3:I29),"")</f>
        <v/>
      </c>
      <c r="K29" s="8" t="str">
        <f>IF(F29&lt;&gt;"",ROWS($I$3:J29),"")</f>
        <v/>
      </c>
      <c r="L29" s="8" t="str">
        <f>IF(G29&lt;&gt;"",ROWS($I$3:K29),"")</f>
        <v/>
      </c>
      <c r="M29" s="8" t="str">
        <f>IF(H29&lt;&gt;"",ROWS($I$3:L29),"")</f>
        <v/>
      </c>
    </row>
    <row r="30" spans="1:13" x14ac:dyDescent="0.25">
      <c r="C30" t="b">
        <f>IF('To Do List Sorted'!$E30=Hoja2!$A$15,TRUE,FALSE)</f>
        <v>0</v>
      </c>
      <c r="E30" s="8" t="str">
        <f>IF(AND('To Do List Sorted'!C30="Yes",'To Do List Sorted'!D30="Yes"),'To Do List Sorted'!B30,"")</f>
        <v/>
      </c>
      <c r="F30" s="8" t="str">
        <f>IF(AND('To Do List Sorted'!C30="Yes",'To Do List Sorted'!D30="No"),'To Do List Sorted'!B30,"")</f>
        <v/>
      </c>
      <c r="G30" s="8" t="str">
        <f>IF(AND('To Do List Sorted'!C30="No",'To Do List Sorted'!D30="Yes"),'To Do List Sorted'!B30,"")</f>
        <v/>
      </c>
      <c r="H30" s="8" t="str">
        <f>IF(AND('To Do List Sorted'!C30="No",'To Do List Sorted'!D30="No"),'To Do List Sorted'!B30,"")</f>
        <v/>
      </c>
      <c r="J30" s="8" t="str">
        <f>IF(E30&lt;&gt;"",ROWS($I$3:I30),"")</f>
        <v/>
      </c>
      <c r="K30" s="8" t="str">
        <f>IF(F30&lt;&gt;"",ROWS($I$3:J30),"")</f>
        <v/>
      </c>
      <c r="L30" s="8" t="str">
        <f>IF(G30&lt;&gt;"",ROWS($I$3:K30),"")</f>
        <v/>
      </c>
      <c r="M30" s="8" t="str">
        <f>IF(H30&lt;&gt;"",ROWS($I$3:L30),"")</f>
        <v/>
      </c>
    </row>
    <row r="31" spans="1:13" x14ac:dyDescent="0.25">
      <c r="C31" t="b">
        <f>IF('To Do List Sorted'!$E31=Hoja2!$A$15,TRUE,FALSE)</f>
        <v>0</v>
      </c>
      <c r="E31" s="8" t="str">
        <f>IF(AND('To Do List Sorted'!C31="Yes",'To Do List Sorted'!D31="Yes"),'To Do List Sorted'!B31,"")</f>
        <v/>
      </c>
      <c r="F31" s="8" t="str">
        <f>IF(AND('To Do List Sorted'!C31="Yes",'To Do List Sorted'!D31="No"),'To Do List Sorted'!B31,"")</f>
        <v/>
      </c>
      <c r="G31" s="8" t="str">
        <f>IF(AND('To Do List Sorted'!C31="No",'To Do List Sorted'!D31="Yes"),'To Do List Sorted'!B31,"")</f>
        <v/>
      </c>
      <c r="H31" s="8" t="str">
        <f>IF(AND('To Do List Sorted'!C31="No",'To Do List Sorted'!D31="No"),'To Do List Sorted'!B31,"")</f>
        <v/>
      </c>
      <c r="J31" s="8" t="str">
        <f>IF(E31&lt;&gt;"",ROWS($I$3:I31),"")</f>
        <v/>
      </c>
      <c r="K31" s="8" t="str">
        <f>IF(F31&lt;&gt;"",ROWS($I$3:J31),"")</f>
        <v/>
      </c>
      <c r="L31" s="8" t="str">
        <f>IF(G31&lt;&gt;"",ROWS($I$3:K31),"")</f>
        <v/>
      </c>
      <c r="M31" s="8" t="str">
        <f>IF(H31&lt;&gt;"",ROWS($I$3:L31),"")</f>
        <v/>
      </c>
    </row>
    <row r="32" spans="1:13" x14ac:dyDescent="0.25">
      <c r="C32" t="b">
        <f>IF('To Do List Sorted'!$E32=Hoja2!$A$15,TRUE,FALSE)</f>
        <v>0</v>
      </c>
      <c r="E32" s="8" t="str">
        <f>IF(AND('To Do List Sorted'!C32="Yes",'To Do List Sorted'!D32="Yes"),'To Do List Sorted'!B32,"")</f>
        <v/>
      </c>
      <c r="F32" s="8" t="str">
        <f>IF(AND('To Do List Sorted'!C32="Yes",'To Do List Sorted'!D32="No"),'To Do List Sorted'!B32,"")</f>
        <v/>
      </c>
      <c r="G32" s="8" t="str">
        <f>IF(AND('To Do List Sorted'!C32="No",'To Do List Sorted'!D32="Yes"),'To Do List Sorted'!B32,"")</f>
        <v/>
      </c>
      <c r="H32" s="8" t="str">
        <f>IF(AND('To Do List Sorted'!C32="No",'To Do List Sorted'!D32="No"),'To Do List Sorted'!B32,"")</f>
        <v/>
      </c>
      <c r="J32" s="8" t="str">
        <f>IF(E32&lt;&gt;"",ROWS($I$3:I32),"")</f>
        <v/>
      </c>
      <c r="K32" s="8" t="str">
        <f>IF(F32&lt;&gt;"",ROWS($I$3:J32),"")</f>
        <v/>
      </c>
      <c r="L32" s="8" t="str">
        <f>IF(G32&lt;&gt;"",ROWS($I$3:K32),"")</f>
        <v/>
      </c>
      <c r="M32" s="8" t="str">
        <f>IF(H32&lt;&gt;"",ROWS($I$3:L32),"")</f>
        <v/>
      </c>
    </row>
    <row r="33" spans="3:13" x14ac:dyDescent="0.25">
      <c r="C33" t="b">
        <f>IF('To Do List Sorted'!$E33=Hoja2!$A$15,TRUE,FALSE)</f>
        <v>0</v>
      </c>
      <c r="E33" s="8" t="str">
        <f>IF(AND('To Do List Sorted'!C33="Yes",'To Do List Sorted'!D33="Yes"),'To Do List Sorted'!B33,"")</f>
        <v/>
      </c>
      <c r="F33" s="8" t="str">
        <f>IF(AND('To Do List Sorted'!C33="Yes",'To Do List Sorted'!D33="No"),'To Do List Sorted'!B33,"")</f>
        <v/>
      </c>
      <c r="G33" s="8" t="str">
        <f>IF(AND('To Do List Sorted'!C33="No",'To Do List Sorted'!D33="Yes"),'To Do List Sorted'!B33,"")</f>
        <v/>
      </c>
      <c r="H33" s="8" t="str">
        <f>IF(AND('To Do List Sorted'!C33="No",'To Do List Sorted'!D33="No"),'To Do List Sorted'!B33,"")</f>
        <v/>
      </c>
      <c r="J33" s="8" t="str">
        <f>IF(E33&lt;&gt;"",ROWS($I$3:I33),"")</f>
        <v/>
      </c>
      <c r="K33" s="8" t="str">
        <f>IF(F33&lt;&gt;"",ROWS($I$3:J33),"")</f>
        <v/>
      </c>
      <c r="L33" s="8" t="str">
        <f>IF(G33&lt;&gt;"",ROWS($I$3:K33),"")</f>
        <v/>
      </c>
      <c r="M33" s="8" t="str">
        <f>IF(H33&lt;&gt;"",ROWS($I$3:L33),"")</f>
        <v/>
      </c>
    </row>
    <row r="34" spans="3:13" x14ac:dyDescent="0.25">
      <c r="C34" t="b">
        <f>IF('To Do List Sorted'!$E34=Hoja2!$A$15,TRUE,FALSE)</f>
        <v>0</v>
      </c>
      <c r="E34" s="8" t="str">
        <f>IF(AND('To Do List Sorted'!C34="Yes",'To Do List Sorted'!D34="Yes"),'To Do List Sorted'!B34,"")</f>
        <v/>
      </c>
      <c r="F34" s="8" t="str">
        <f>IF(AND('To Do List Sorted'!C34="Yes",'To Do List Sorted'!D34="No"),'To Do List Sorted'!B34,"")</f>
        <v/>
      </c>
      <c r="G34" s="8" t="str">
        <f>IF(AND('To Do List Sorted'!C34="No",'To Do List Sorted'!D34="Yes"),'To Do List Sorted'!B34,"")</f>
        <v/>
      </c>
      <c r="H34" s="8" t="str">
        <f>IF(AND('To Do List Sorted'!C34="No",'To Do List Sorted'!D34="No"),'To Do List Sorted'!B34,"")</f>
        <v/>
      </c>
      <c r="J34" s="8" t="str">
        <f>IF(E34&lt;&gt;"",ROWS($I$3:I34),"")</f>
        <v/>
      </c>
      <c r="K34" s="8" t="str">
        <f>IF(F34&lt;&gt;"",ROWS($I$3:J34),"")</f>
        <v/>
      </c>
      <c r="L34" s="8" t="str">
        <f>IF(G34&lt;&gt;"",ROWS($I$3:K34),"")</f>
        <v/>
      </c>
      <c r="M34" s="8" t="str">
        <f>IF(H34&lt;&gt;"",ROWS($I$3:L34),"")</f>
        <v/>
      </c>
    </row>
    <row r="35" spans="3:13" x14ac:dyDescent="0.25">
      <c r="C35" t="b">
        <f>IF('To Do List Sorted'!$E35=Hoja2!$A$15,TRUE,FALSE)</f>
        <v>0</v>
      </c>
      <c r="E35" s="8" t="str">
        <f>IF(AND('To Do List Sorted'!C35="Yes",'To Do List Sorted'!D35="Yes"),'To Do List Sorted'!B35,"")</f>
        <v/>
      </c>
      <c r="F35" s="8" t="str">
        <f>IF(AND('To Do List Sorted'!C35="Yes",'To Do List Sorted'!D35="No"),'To Do List Sorted'!B35,"")</f>
        <v/>
      </c>
      <c r="G35" s="8" t="str">
        <f>IF(AND('To Do List Sorted'!C35="No",'To Do List Sorted'!D35="Yes"),'To Do List Sorted'!B35,"")</f>
        <v/>
      </c>
      <c r="H35" s="8" t="str">
        <f>IF(AND('To Do List Sorted'!C35="No",'To Do List Sorted'!D35="No"),'To Do List Sorted'!B35,"")</f>
        <v/>
      </c>
      <c r="J35" s="8" t="str">
        <f>IF(E35&lt;&gt;"",ROWS($I$3:I35),"")</f>
        <v/>
      </c>
      <c r="K35" s="8" t="str">
        <f>IF(F35&lt;&gt;"",ROWS($I$3:J35),"")</f>
        <v/>
      </c>
      <c r="L35" s="8" t="str">
        <f>IF(G35&lt;&gt;"",ROWS($I$3:K35),"")</f>
        <v/>
      </c>
      <c r="M35" s="8" t="str">
        <f>IF(H35&lt;&gt;"",ROWS($I$3:L35),"")</f>
        <v/>
      </c>
    </row>
    <row r="36" spans="3:13" x14ac:dyDescent="0.25">
      <c r="C36" t="b">
        <f>IF('To Do List Sorted'!$E36=Hoja2!$A$15,TRUE,FALSE)</f>
        <v>0</v>
      </c>
      <c r="E36" s="8" t="str">
        <f>IF(AND('To Do List Sorted'!C36="Yes",'To Do List Sorted'!D36="Yes"),'To Do List Sorted'!B36,"")</f>
        <v/>
      </c>
      <c r="F36" s="8" t="str">
        <f>IF(AND('To Do List Sorted'!C36="Yes",'To Do List Sorted'!D36="No"),'To Do List Sorted'!B36,"")</f>
        <v/>
      </c>
      <c r="G36" s="8" t="str">
        <f>IF(AND('To Do List Sorted'!C36="No",'To Do List Sorted'!D36="Yes"),'To Do List Sorted'!B36,"")</f>
        <v/>
      </c>
      <c r="H36" s="8" t="str">
        <f>IF(AND('To Do List Sorted'!C36="No",'To Do List Sorted'!D36="No"),'To Do List Sorted'!B36,"")</f>
        <v/>
      </c>
      <c r="J36" s="8" t="str">
        <f>IF(E36&lt;&gt;"",ROWS($I$3:I36),"")</f>
        <v/>
      </c>
      <c r="K36" s="8" t="str">
        <f>IF(F36&lt;&gt;"",ROWS($I$3:J36),"")</f>
        <v/>
      </c>
      <c r="L36" s="8" t="str">
        <f>IF(G36&lt;&gt;"",ROWS($I$3:K36),"")</f>
        <v/>
      </c>
      <c r="M36" s="8" t="str">
        <f>IF(H36&lt;&gt;"",ROWS($I$3:L36),"")</f>
        <v/>
      </c>
    </row>
    <row r="37" spans="3:13" x14ac:dyDescent="0.25">
      <c r="C37" t="b">
        <f>IF('To Do List Sorted'!$E37=Hoja2!$A$15,TRUE,FALSE)</f>
        <v>0</v>
      </c>
      <c r="E37" s="8" t="str">
        <f>IF(AND('To Do List Sorted'!C37="Yes",'To Do List Sorted'!D37="Yes"),'To Do List Sorted'!B37,"")</f>
        <v/>
      </c>
      <c r="F37" s="8" t="str">
        <f>IF(AND('To Do List Sorted'!C37="Yes",'To Do List Sorted'!D37="No"),'To Do List Sorted'!B37,"")</f>
        <v/>
      </c>
      <c r="G37" s="8" t="str">
        <f>IF(AND('To Do List Sorted'!C37="No",'To Do List Sorted'!D37="Yes"),'To Do List Sorted'!B37,"")</f>
        <v/>
      </c>
      <c r="H37" s="8" t="str">
        <f>IF(AND('To Do List Sorted'!C37="No",'To Do List Sorted'!D37="No"),'To Do List Sorted'!B37,"")</f>
        <v/>
      </c>
      <c r="J37" s="8" t="str">
        <f>IF(E37&lt;&gt;"",ROWS($I$3:I37),"")</f>
        <v/>
      </c>
      <c r="K37" s="8" t="str">
        <f>IF(F37&lt;&gt;"",ROWS($I$3:J37),"")</f>
        <v/>
      </c>
      <c r="L37" s="8" t="str">
        <f>IF(G37&lt;&gt;"",ROWS($I$3:K37),"")</f>
        <v/>
      </c>
      <c r="M37" s="8" t="str">
        <f>IF(H37&lt;&gt;"",ROWS($I$3:L37),"")</f>
        <v/>
      </c>
    </row>
    <row r="38" spans="3:13" x14ac:dyDescent="0.25">
      <c r="C38" t="b">
        <f>IF('To Do List Sorted'!$E38=Hoja2!$A$15,TRUE,FALSE)</f>
        <v>0</v>
      </c>
      <c r="E38" s="8" t="str">
        <f>IF(AND('To Do List Sorted'!C38="Yes",'To Do List Sorted'!D38="Yes"),'To Do List Sorted'!B38,"")</f>
        <v/>
      </c>
      <c r="F38" s="8" t="str">
        <f>IF(AND('To Do List Sorted'!C38="Yes",'To Do List Sorted'!D38="No"),'To Do List Sorted'!B38,"")</f>
        <v/>
      </c>
      <c r="G38" s="8" t="str">
        <f>IF(AND('To Do List Sorted'!C38="No",'To Do List Sorted'!D38="Yes"),'To Do List Sorted'!B38,"")</f>
        <v/>
      </c>
      <c r="H38" s="8" t="str">
        <f>IF(AND('To Do List Sorted'!C38="No",'To Do List Sorted'!D38="No"),'To Do List Sorted'!B38,"")</f>
        <v/>
      </c>
      <c r="J38" s="8" t="str">
        <f>IF(E38&lt;&gt;"",ROWS($I$3:I38),"")</f>
        <v/>
      </c>
      <c r="K38" s="8" t="str">
        <f>IF(F38&lt;&gt;"",ROWS($I$3:J38),"")</f>
        <v/>
      </c>
      <c r="L38" s="8" t="str">
        <f>IF(G38&lt;&gt;"",ROWS($I$3:K38),"")</f>
        <v/>
      </c>
      <c r="M38" s="8" t="str">
        <f>IF(H38&lt;&gt;"",ROWS($I$3:L38),"")</f>
        <v/>
      </c>
    </row>
    <row r="39" spans="3:13" x14ac:dyDescent="0.25">
      <c r="C39" t="b">
        <f>IF('To Do List Sorted'!$E39=Hoja2!$A$15,TRUE,FALSE)</f>
        <v>0</v>
      </c>
      <c r="E39" s="8" t="str">
        <f>IF(AND('To Do List Sorted'!C39="Yes",'To Do List Sorted'!D39="Yes"),'To Do List Sorted'!B39,"")</f>
        <v/>
      </c>
      <c r="F39" s="8" t="str">
        <f>IF(AND('To Do List Sorted'!C39="Yes",'To Do List Sorted'!D39="No"),'To Do List Sorted'!B39,"")</f>
        <v/>
      </c>
      <c r="G39" s="8" t="str">
        <f>IF(AND('To Do List Sorted'!C39="No",'To Do List Sorted'!D39="Yes"),'To Do List Sorted'!B39,"")</f>
        <v/>
      </c>
      <c r="H39" s="8" t="str">
        <f>IF(AND('To Do List Sorted'!C39="No",'To Do List Sorted'!D39="No"),'To Do List Sorted'!B39,"")</f>
        <v/>
      </c>
      <c r="J39" s="8" t="str">
        <f>IF(E39&lt;&gt;"",ROWS($I$3:I39),"")</f>
        <v/>
      </c>
      <c r="K39" s="8" t="str">
        <f>IF(F39&lt;&gt;"",ROWS($I$3:J39),"")</f>
        <v/>
      </c>
      <c r="L39" s="8" t="str">
        <f>IF(G39&lt;&gt;"",ROWS($I$3:K39),"")</f>
        <v/>
      </c>
      <c r="M39" s="8" t="str">
        <f>IF(H39&lt;&gt;"",ROWS($I$3:L39),"")</f>
        <v/>
      </c>
    </row>
    <row r="40" spans="3:13" x14ac:dyDescent="0.25">
      <c r="C40" t="b">
        <f>IF('To Do List Sorted'!$E40=Hoja2!$A$15,TRUE,FALSE)</f>
        <v>0</v>
      </c>
      <c r="E40" s="8" t="str">
        <f>IF(AND('To Do List Sorted'!C40="Yes",'To Do List Sorted'!D40="Yes"),'To Do List Sorted'!B40,"")</f>
        <v/>
      </c>
      <c r="F40" s="8" t="str">
        <f>IF(AND('To Do List Sorted'!C40="Yes",'To Do List Sorted'!D40="No"),'To Do List Sorted'!B40,"")</f>
        <v/>
      </c>
      <c r="G40" s="8" t="str">
        <f>IF(AND('To Do List Sorted'!C40="No",'To Do List Sorted'!D40="Yes"),'To Do List Sorted'!B40,"")</f>
        <v/>
      </c>
      <c r="H40" s="8" t="str">
        <f>IF(AND('To Do List Sorted'!C40="No",'To Do List Sorted'!D40="No"),'To Do List Sorted'!B40,"")</f>
        <v/>
      </c>
      <c r="J40" s="8" t="str">
        <f>IF(E40&lt;&gt;"",ROWS($I$3:I40),"")</f>
        <v/>
      </c>
      <c r="K40" s="8" t="str">
        <f>IF(F40&lt;&gt;"",ROWS($I$3:J40),"")</f>
        <v/>
      </c>
      <c r="L40" s="8" t="str">
        <f>IF(G40&lt;&gt;"",ROWS($I$3:K40),"")</f>
        <v/>
      </c>
      <c r="M40" s="8" t="str">
        <f>IF(H40&lt;&gt;"",ROWS($I$3:L40),"")</f>
        <v/>
      </c>
    </row>
    <row r="41" spans="3:13" x14ac:dyDescent="0.25">
      <c r="C41" t="b">
        <f>IF('To Do List Sorted'!$E41=Hoja2!$A$15,TRUE,FALSE)</f>
        <v>0</v>
      </c>
      <c r="E41" s="8" t="str">
        <f>IF(AND('To Do List Sorted'!C41="Yes",'To Do List Sorted'!D41="Yes"),'To Do List Sorted'!B41,"")</f>
        <v/>
      </c>
      <c r="F41" s="8" t="str">
        <f>IF(AND('To Do List Sorted'!C41="Yes",'To Do List Sorted'!D41="No"),'To Do List Sorted'!B41,"")</f>
        <v/>
      </c>
      <c r="G41" s="8" t="str">
        <f>IF(AND('To Do List Sorted'!C41="No",'To Do List Sorted'!D41="Yes"),'To Do List Sorted'!B41,"")</f>
        <v/>
      </c>
      <c r="H41" s="8" t="str">
        <f>IF(AND('To Do List Sorted'!C41="No",'To Do List Sorted'!D41="No"),'To Do List Sorted'!B41,"")</f>
        <v/>
      </c>
      <c r="J41" s="8" t="str">
        <f>IF(E41&lt;&gt;"",ROWS($I$3:I41),"")</f>
        <v/>
      </c>
      <c r="K41" s="8" t="str">
        <f>IF(F41&lt;&gt;"",ROWS($I$3:J41),"")</f>
        <v/>
      </c>
      <c r="L41" s="8" t="str">
        <f>IF(G41&lt;&gt;"",ROWS($I$3:K41),"")</f>
        <v/>
      </c>
      <c r="M41" s="8" t="str">
        <f>IF(H41&lt;&gt;"",ROWS($I$3:L41),"")</f>
        <v/>
      </c>
    </row>
    <row r="42" spans="3:13" x14ac:dyDescent="0.25">
      <c r="C42" t="b">
        <f>IF('To Do List Sorted'!$E42=Hoja2!$A$15,TRUE,FALSE)</f>
        <v>0</v>
      </c>
      <c r="E42" s="8" t="str">
        <f>IF(AND('To Do List Sorted'!C42="Yes",'To Do List Sorted'!D42="Yes"),'To Do List Sorted'!B42,"")</f>
        <v/>
      </c>
      <c r="F42" s="8" t="str">
        <f>IF(AND('To Do List Sorted'!C42="Yes",'To Do List Sorted'!D42="No"),'To Do List Sorted'!B42,"")</f>
        <v/>
      </c>
      <c r="G42" s="8" t="str">
        <f>IF(AND('To Do List Sorted'!C42="No",'To Do List Sorted'!D42="Yes"),'To Do List Sorted'!B42,"")</f>
        <v/>
      </c>
      <c r="H42" s="8" t="str">
        <f>IF(AND('To Do List Sorted'!C42="No",'To Do List Sorted'!D42="No"),'To Do List Sorted'!B42,"")</f>
        <v/>
      </c>
      <c r="J42" s="8" t="str">
        <f>IF(E42&lt;&gt;"",ROWS($I$3:I42),"")</f>
        <v/>
      </c>
      <c r="K42" s="8" t="str">
        <f>IF(F42&lt;&gt;"",ROWS($I$3:J42),"")</f>
        <v/>
      </c>
      <c r="L42" s="8" t="str">
        <f>IF(G42&lt;&gt;"",ROWS($I$3:K42),"")</f>
        <v/>
      </c>
      <c r="M42" s="8" t="str">
        <f>IF(H42&lt;&gt;"",ROWS($I$3:L42),"")</f>
        <v/>
      </c>
    </row>
    <row r="43" spans="3:13" x14ac:dyDescent="0.25">
      <c r="C43" t="b">
        <f>IF('To Do List Sorted'!$E43=Hoja2!$A$15,TRUE,FALSE)</f>
        <v>0</v>
      </c>
      <c r="E43" s="8" t="str">
        <f>IF(AND('To Do List Sorted'!C43="Yes",'To Do List Sorted'!D43="Yes"),'To Do List Sorted'!B43,"")</f>
        <v/>
      </c>
      <c r="F43" s="8" t="str">
        <f>IF(AND('To Do List Sorted'!C43="Yes",'To Do List Sorted'!D43="No"),'To Do List Sorted'!B43,"")</f>
        <v/>
      </c>
      <c r="G43" s="8" t="str">
        <f>IF(AND('To Do List Sorted'!C43="No",'To Do List Sorted'!D43="Yes"),'To Do List Sorted'!B43,"")</f>
        <v/>
      </c>
      <c r="H43" s="8" t="str">
        <f>IF(AND('To Do List Sorted'!C43="No",'To Do List Sorted'!D43="No"),'To Do List Sorted'!B43,"")</f>
        <v/>
      </c>
      <c r="J43" s="8" t="str">
        <f>IF(E43&lt;&gt;"",ROWS($I$3:I43),"")</f>
        <v/>
      </c>
      <c r="K43" s="8" t="str">
        <f>IF(F43&lt;&gt;"",ROWS($I$3:J43),"")</f>
        <v/>
      </c>
      <c r="L43" s="8" t="str">
        <f>IF(G43&lt;&gt;"",ROWS($I$3:K43),"")</f>
        <v/>
      </c>
      <c r="M43" s="8" t="str">
        <f>IF(H43&lt;&gt;"",ROWS($I$3:L43),"")</f>
        <v/>
      </c>
    </row>
    <row r="44" spans="3:13" x14ac:dyDescent="0.25">
      <c r="C44" t="b">
        <f>IF('To Do List Sorted'!$E44=Hoja2!$A$15,TRUE,FALSE)</f>
        <v>0</v>
      </c>
      <c r="E44" s="8" t="str">
        <f>IF(AND('To Do List Sorted'!C44="Yes",'To Do List Sorted'!D44="Yes"),'To Do List Sorted'!B44,"")</f>
        <v/>
      </c>
      <c r="F44" s="8" t="str">
        <f>IF(AND('To Do List Sorted'!C44="Yes",'To Do List Sorted'!D44="No"),'To Do List Sorted'!B44,"")</f>
        <v/>
      </c>
      <c r="G44" s="8" t="str">
        <f>IF(AND('To Do List Sorted'!C44="No",'To Do List Sorted'!D44="Yes"),'To Do List Sorted'!B44,"")</f>
        <v/>
      </c>
      <c r="H44" s="8" t="str">
        <f>IF(AND('To Do List Sorted'!C44="No",'To Do List Sorted'!D44="No"),'To Do List Sorted'!B44,"")</f>
        <v/>
      </c>
      <c r="J44" s="8" t="str">
        <f>IF(E44&lt;&gt;"",ROWS($I$3:I44),"")</f>
        <v/>
      </c>
      <c r="K44" s="8" t="str">
        <f>IF(F44&lt;&gt;"",ROWS($I$3:J44),"")</f>
        <v/>
      </c>
      <c r="L44" s="8" t="str">
        <f>IF(G44&lt;&gt;"",ROWS($I$3:K44),"")</f>
        <v/>
      </c>
      <c r="M44" s="8" t="str">
        <f>IF(H44&lt;&gt;"",ROWS($I$3:L44),"")</f>
        <v/>
      </c>
    </row>
    <row r="45" spans="3:13" x14ac:dyDescent="0.25">
      <c r="C45" t="b">
        <f>IF('To Do List Sorted'!$E45=Hoja2!$A$15,TRUE,FALSE)</f>
        <v>0</v>
      </c>
      <c r="E45" s="8" t="str">
        <f>IF(AND('To Do List Sorted'!C45="Yes",'To Do List Sorted'!D45="Yes"),'To Do List Sorted'!B45,"")</f>
        <v/>
      </c>
      <c r="F45" s="8" t="str">
        <f>IF(AND('To Do List Sorted'!C45="Yes",'To Do List Sorted'!D45="No"),'To Do List Sorted'!B45,"")</f>
        <v/>
      </c>
      <c r="G45" s="8" t="str">
        <f>IF(AND('To Do List Sorted'!C45="No",'To Do List Sorted'!D45="Yes"),'To Do List Sorted'!B45,"")</f>
        <v/>
      </c>
      <c r="H45" s="8" t="str">
        <f>IF(AND('To Do List Sorted'!C45="No",'To Do List Sorted'!D45="No"),'To Do List Sorted'!B45,"")</f>
        <v/>
      </c>
      <c r="J45" s="8" t="str">
        <f>IF(E45&lt;&gt;"",ROWS($I$3:I45),"")</f>
        <v/>
      </c>
      <c r="K45" s="8" t="str">
        <f>IF(F45&lt;&gt;"",ROWS($I$3:J45),"")</f>
        <v/>
      </c>
      <c r="L45" s="8" t="str">
        <f>IF(G45&lt;&gt;"",ROWS($I$3:K45),"")</f>
        <v/>
      </c>
      <c r="M45" s="8" t="str">
        <f>IF(H45&lt;&gt;"",ROWS($I$3:L45),"")</f>
        <v/>
      </c>
    </row>
    <row r="46" spans="3:13" x14ac:dyDescent="0.25">
      <c r="C46" t="b">
        <f>IF('To Do List Sorted'!$E46=Hoja2!$A$15,TRUE,FALSE)</f>
        <v>0</v>
      </c>
      <c r="E46" s="8" t="str">
        <f>IF(AND('To Do List Sorted'!C46="Yes",'To Do List Sorted'!D46="Yes"),'To Do List Sorted'!B46,"")</f>
        <v/>
      </c>
      <c r="F46" s="8" t="str">
        <f>IF(AND('To Do List Sorted'!C46="Yes",'To Do List Sorted'!D46="No"),'To Do List Sorted'!B46,"")</f>
        <v/>
      </c>
      <c r="G46" s="8" t="str">
        <f>IF(AND('To Do List Sorted'!C46="No",'To Do List Sorted'!D46="Yes"),'To Do List Sorted'!B46,"")</f>
        <v/>
      </c>
      <c r="H46" s="8" t="str">
        <f>IF(AND('To Do List Sorted'!C46="No",'To Do List Sorted'!D46="No"),'To Do List Sorted'!B46,"")</f>
        <v/>
      </c>
      <c r="J46" s="8" t="str">
        <f>IF(E46&lt;&gt;"",ROWS($I$3:I46),"")</f>
        <v/>
      </c>
      <c r="K46" s="8" t="str">
        <f>IF(F46&lt;&gt;"",ROWS($I$3:J46),"")</f>
        <v/>
      </c>
      <c r="L46" s="8" t="str">
        <f>IF(G46&lt;&gt;"",ROWS($I$3:K46),"")</f>
        <v/>
      </c>
      <c r="M46" s="8" t="str">
        <f>IF(H46&lt;&gt;"",ROWS($I$3:L46),"")</f>
        <v/>
      </c>
    </row>
    <row r="47" spans="3:13" x14ac:dyDescent="0.25">
      <c r="C47" t="b">
        <f>IF('To Do List Sorted'!$E47=Hoja2!$A$15,TRUE,FALSE)</f>
        <v>0</v>
      </c>
      <c r="E47" s="8" t="str">
        <f>IF(AND('To Do List Sorted'!C47="Yes",'To Do List Sorted'!D47="Yes"),'To Do List Sorted'!B47,"")</f>
        <v/>
      </c>
      <c r="F47" s="8" t="str">
        <f>IF(AND('To Do List Sorted'!C47="Yes",'To Do List Sorted'!D47="No"),'To Do List Sorted'!B47,"")</f>
        <v/>
      </c>
      <c r="G47" s="8" t="str">
        <f>IF(AND('To Do List Sorted'!C47="No",'To Do List Sorted'!D47="Yes"),'To Do List Sorted'!B47,"")</f>
        <v/>
      </c>
      <c r="H47" s="8" t="str">
        <f>IF(AND('To Do List Sorted'!C47="No",'To Do List Sorted'!D47="No"),'To Do List Sorted'!B47,"")</f>
        <v/>
      </c>
      <c r="J47" s="8" t="str">
        <f>IF(E47&lt;&gt;"",ROWS($I$3:I47),"")</f>
        <v/>
      </c>
      <c r="K47" s="8" t="str">
        <f>IF(F47&lt;&gt;"",ROWS($I$3:J47),"")</f>
        <v/>
      </c>
      <c r="L47" s="8" t="str">
        <f>IF(G47&lt;&gt;"",ROWS($I$3:K47),"")</f>
        <v/>
      </c>
      <c r="M47" s="8" t="str">
        <f>IF(H47&lt;&gt;"",ROWS($I$3:L47),"")</f>
        <v/>
      </c>
    </row>
    <row r="48" spans="3:13" x14ac:dyDescent="0.25">
      <c r="C48" t="b">
        <f>IF('To Do List Sorted'!$E48=Hoja2!$A$15,TRUE,FALSE)</f>
        <v>0</v>
      </c>
      <c r="E48" s="8" t="str">
        <f>IF(AND('To Do List Sorted'!C48="Yes",'To Do List Sorted'!D48="Yes"),'To Do List Sorted'!B48,"")</f>
        <v/>
      </c>
      <c r="F48" s="8" t="str">
        <f>IF(AND('To Do List Sorted'!C48="Yes",'To Do List Sorted'!D48="No"),'To Do List Sorted'!B48,"")</f>
        <v/>
      </c>
      <c r="G48" s="8" t="str">
        <f>IF(AND('To Do List Sorted'!C48="No",'To Do List Sorted'!D48="Yes"),'To Do List Sorted'!B48,"")</f>
        <v/>
      </c>
      <c r="H48" s="8" t="str">
        <f>IF(AND('To Do List Sorted'!C48="No",'To Do List Sorted'!D48="No"),'To Do List Sorted'!B48,"")</f>
        <v/>
      </c>
      <c r="J48" s="8" t="str">
        <f>IF(E48&lt;&gt;"",ROWS($I$3:I48),"")</f>
        <v/>
      </c>
      <c r="K48" s="8" t="str">
        <f>IF(F48&lt;&gt;"",ROWS($I$3:J48),"")</f>
        <v/>
      </c>
      <c r="L48" s="8" t="str">
        <f>IF(G48&lt;&gt;"",ROWS($I$3:K48),"")</f>
        <v/>
      </c>
      <c r="M48" s="8" t="str">
        <f>IF(H48&lt;&gt;"",ROWS($I$3:L48),"")</f>
        <v/>
      </c>
    </row>
    <row r="49" spans="3:13" x14ac:dyDescent="0.25">
      <c r="C49" t="b">
        <f>IF('To Do List Sorted'!$E49=Hoja2!$A$15,TRUE,FALSE)</f>
        <v>0</v>
      </c>
      <c r="E49" s="8" t="str">
        <f>IF(AND('To Do List Sorted'!C49="Yes",'To Do List Sorted'!D49="Yes"),'To Do List Sorted'!B49,"")</f>
        <v/>
      </c>
      <c r="F49" s="8" t="str">
        <f>IF(AND('To Do List Sorted'!C49="Yes",'To Do List Sorted'!D49="No"),'To Do List Sorted'!B49,"")</f>
        <v/>
      </c>
      <c r="G49" s="8" t="str">
        <f>IF(AND('To Do List Sorted'!C49="No",'To Do List Sorted'!D49="Yes"),'To Do List Sorted'!B49,"")</f>
        <v/>
      </c>
      <c r="H49" s="8" t="str">
        <f>IF(AND('To Do List Sorted'!C49="No",'To Do List Sorted'!D49="No"),'To Do List Sorted'!B49,"")</f>
        <v/>
      </c>
      <c r="J49" s="8" t="str">
        <f>IF(E49&lt;&gt;"",ROWS($I$3:I49),"")</f>
        <v/>
      </c>
      <c r="K49" s="8" t="str">
        <f>IF(F49&lt;&gt;"",ROWS($I$3:J49),"")</f>
        <v/>
      </c>
      <c r="L49" s="8" t="str">
        <f>IF(G49&lt;&gt;"",ROWS($I$3:K49),"")</f>
        <v/>
      </c>
      <c r="M49" s="8" t="str">
        <f>IF(H49&lt;&gt;"",ROWS($I$3:L49),"")</f>
        <v/>
      </c>
    </row>
    <row r="50" spans="3:13" x14ac:dyDescent="0.25">
      <c r="C50" t="b">
        <f>IF('To Do List Sorted'!$E50=Hoja2!$A$15,TRUE,FALSE)</f>
        <v>0</v>
      </c>
      <c r="E50" s="8" t="str">
        <f>IF(AND('To Do List Sorted'!C50="Yes",'To Do List Sorted'!D50="Yes"),'To Do List Sorted'!B50,"")</f>
        <v/>
      </c>
      <c r="F50" s="8" t="str">
        <f>IF(AND('To Do List Sorted'!C50="Yes",'To Do List Sorted'!D50="No"),'To Do List Sorted'!B50,"")</f>
        <v/>
      </c>
      <c r="G50" s="8" t="str">
        <f>IF(AND('To Do List Sorted'!C50="No",'To Do List Sorted'!D50="Yes"),'To Do List Sorted'!B50,"")</f>
        <v/>
      </c>
      <c r="H50" s="8" t="str">
        <f>IF(AND('To Do List Sorted'!C50="No",'To Do List Sorted'!D50="No"),'To Do List Sorted'!B50,"")</f>
        <v/>
      </c>
      <c r="J50" s="8" t="str">
        <f>IF(E50&lt;&gt;"",ROWS($I$3:I50),"")</f>
        <v/>
      </c>
      <c r="K50" s="8" t="str">
        <f>IF(F50&lt;&gt;"",ROWS($I$3:J50),"")</f>
        <v/>
      </c>
      <c r="L50" s="8" t="str">
        <f>IF(G50&lt;&gt;"",ROWS($I$3:K50),"")</f>
        <v/>
      </c>
      <c r="M50" s="8" t="str">
        <f>IF(H50&lt;&gt;"",ROWS($I$3:L50),"")</f>
        <v/>
      </c>
    </row>
    <row r="51" spans="3:13" x14ac:dyDescent="0.25">
      <c r="C51" t="b">
        <f>IF('To Do List Sorted'!$E51=Hoja2!$A$15,TRUE,FALSE)</f>
        <v>0</v>
      </c>
      <c r="E51" s="8" t="str">
        <f>IF(AND('To Do List Sorted'!C51="Yes",'To Do List Sorted'!D51="Yes"),'To Do List Sorted'!B51,"")</f>
        <v/>
      </c>
      <c r="F51" s="8" t="str">
        <f>IF(AND('To Do List Sorted'!C51="Yes",'To Do List Sorted'!D51="No"),'To Do List Sorted'!B51,"")</f>
        <v/>
      </c>
      <c r="G51" s="8" t="str">
        <f>IF(AND('To Do List Sorted'!C51="No",'To Do List Sorted'!D51="Yes"),'To Do List Sorted'!B51,"")</f>
        <v/>
      </c>
      <c r="H51" s="8" t="str">
        <f>IF(AND('To Do List Sorted'!C51="No",'To Do List Sorted'!D51="No"),'To Do List Sorted'!B51,"")</f>
        <v/>
      </c>
      <c r="J51" s="8" t="str">
        <f>IF(E51&lt;&gt;"",ROWS($I$3:I51),"")</f>
        <v/>
      </c>
      <c r="K51" s="8" t="str">
        <f>IF(F51&lt;&gt;"",ROWS($I$3:J51),"")</f>
        <v/>
      </c>
      <c r="L51" s="8" t="str">
        <f>IF(G51&lt;&gt;"",ROWS($I$3:K51),"")</f>
        <v/>
      </c>
      <c r="M51" s="8" t="str">
        <f>IF(H51&lt;&gt;"",ROWS($I$3:L51),"")</f>
        <v/>
      </c>
    </row>
    <row r="52" spans="3:13" x14ac:dyDescent="0.25">
      <c r="C52" t="b">
        <f>IF('To Do List Sorted'!$E52=Hoja2!$A$15,TRUE,FALSE)</f>
        <v>0</v>
      </c>
      <c r="E52" s="8" t="str">
        <f>IF(AND('To Do List Sorted'!C52="Yes",'To Do List Sorted'!D52="Yes"),'To Do List Sorted'!B52,"")</f>
        <v/>
      </c>
      <c r="F52" s="8" t="str">
        <f>IF(AND('To Do List Sorted'!C52="Yes",'To Do List Sorted'!D52="No"),'To Do List Sorted'!B52,"")</f>
        <v/>
      </c>
      <c r="G52" s="8" t="str">
        <f>IF(AND('To Do List Sorted'!C52="No",'To Do List Sorted'!D52="Yes"),'To Do List Sorted'!B52,"")</f>
        <v/>
      </c>
      <c r="H52" s="8" t="str">
        <f>IF(AND('To Do List Sorted'!C52="No",'To Do List Sorted'!D52="No"),'To Do List Sorted'!B52,"")</f>
        <v/>
      </c>
      <c r="J52" s="8" t="str">
        <f>IF(E52&lt;&gt;"",ROWS($I$3:I52),"")</f>
        <v/>
      </c>
      <c r="K52" s="8" t="str">
        <f>IF(F52&lt;&gt;"",ROWS($I$3:J52),"")</f>
        <v/>
      </c>
      <c r="L52" s="8" t="str">
        <f>IF(G52&lt;&gt;"",ROWS($I$3:K52),"")</f>
        <v/>
      </c>
      <c r="M52" s="8" t="str">
        <f>IF(H52&lt;&gt;"",ROWS($I$3:L52),"")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E20"/>
  <sheetViews>
    <sheetView workbookViewId="0">
      <selection activeCell="B3" sqref="B3"/>
    </sheetView>
  </sheetViews>
  <sheetFormatPr baseColWidth="10" defaultRowHeight="15" x14ac:dyDescent="0.25"/>
  <cols>
    <col min="1" max="1" width="2.7109375" customWidth="1"/>
    <col min="2" max="2" width="24.85546875" customWidth="1"/>
    <col min="3" max="3" width="27.7109375" customWidth="1"/>
    <col min="4" max="4" width="17.42578125" customWidth="1"/>
    <col min="5" max="5" width="19.140625" customWidth="1"/>
  </cols>
  <sheetData>
    <row r="2" spans="2:5" x14ac:dyDescent="0.25">
      <c r="B2" s="11" t="s">
        <v>10</v>
      </c>
      <c r="C2" s="12" t="s">
        <v>11</v>
      </c>
      <c r="D2" s="12" t="s">
        <v>12</v>
      </c>
      <c r="E2" s="13" t="s">
        <v>13</v>
      </c>
    </row>
    <row r="3" spans="2:5" x14ac:dyDescent="0.25">
      <c r="B3" s="7" t="s">
        <v>14</v>
      </c>
      <c r="C3" s="8" t="s">
        <v>5</v>
      </c>
      <c r="D3" s="8" t="s">
        <v>4</v>
      </c>
      <c r="E3" s="9" t="s">
        <v>6</v>
      </c>
    </row>
    <row r="4" spans="2:5" x14ac:dyDescent="0.25">
      <c r="B4" s="7" t="s">
        <v>15</v>
      </c>
      <c r="C4" s="8" t="s">
        <v>5</v>
      </c>
      <c r="D4" s="8" t="s">
        <v>5</v>
      </c>
      <c r="E4" s="9" t="s">
        <v>7</v>
      </c>
    </row>
    <row r="5" spans="2:5" x14ac:dyDescent="0.25">
      <c r="B5" s="7" t="s">
        <v>19</v>
      </c>
      <c r="C5" s="8" t="s">
        <v>4</v>
      </c>
      <c r="D5" s="8" t="s">
        <v>4</v>
      </c>
      <c r="E5" s="9" t="s">
        <v>6</v>
      </c>
    </row>
    <row r="6" spans="2:5" x14ac:dyDescent="0.25">
      <c r="B6" s="7"/>
      <c r="C6" s="8"/>
      <c r="D6" s="8"/>
      <c r="E6" s="9"/>
    </row>
    <row r="7" spans="2:5" x14ac:dyDescent="0.25">
      <c r="B7" s="7"/>
      <c r="C7" s="8"/>
      <c r="D7" s="8"/>
      <c r="E7" s="9"/>
    </row>
    <row r="8" spans="2:5" x14ac:dyDescent="0.25">
      <c r="B8" s="7"/>
      <c r="C8" s="8"/>
      <c r="D8" s="8"/>
      <c r="E8" s="9"/>
    </row>
    <row r="9" spans="2:5" x14ac:dyDescent="0.25">
      <c r="B9" s="7"/>
      <c r="C9" s="8"/>
      <c r="D9" s="8"/>
      <c r="E9" s="9"/>
    </row>
    <row r="10" spans="2:5" x14ac:dyDescent="0.25">
      <c r="B10" s="7"/>
      <c r="C10" s="8"/>
      <c r="D10" s="8"/>
      <c r="E10" s="9"/>
    </row>
    <row r="11" spans="2:5" x14ac:dyDescent="0.25">
      <c r="B11" s="7"/>
      <c r="C11" s="8"/>
      <c r="D11" s="8"/>
      <c r="E11" s="9"/>
    </row>
    <row r="12" spans="2:5" x14ac:dyDescent="0.25">
      <c r="B12" s="7"/>
      <c r="C12" s="8"/>
      <c r="D12" s="8"/>
      <c r="E12" s="9"/>
    </row>
    <row r="13" spans="2:5" x14ac:dyDescent="0.25">
      <c r="B13" s="7"/>
      <c r="C13" s="8"/>
      <c r="D13" s="8"/>
      <c r="E13" s="9"/>
    </row>
    <row r="14" spans="2:5" x14ac:dyDescent="0.25">
      <c r="B14" s="7"/>
      <c r="C14" s="8"/>
      <c r="D14" s="8"/>
      <c r="E14" s="9"/>
    </row>
    <row r="15" spans="2:5" x14ac:dyDescent="0.25">
      <c r="B15" s="7"/>
      <c r="C15" s="8"/>
      <c r="D15" s="8"/>
      <c r="E15" s="9"/>
    </row>
    <row r="16" spans="2:5" x14ac:dyDescent="0.25">
      <c r="B16" s="7"/>
      <c r="C16" s="8"/>
      <c r="D16" s="8"/>
      <c r="E16" s="9"/>
    </row>
    <row r="17" spans="2:5" x14ac:dyDescent="0.25">
      <c r="B17" s="2"/>
      <c r="C17" s="10"/>
      <c r="D17" s="10"/>
      <c r="E17" s="1"/>
    </row>
    <row r="18" spans="2:5" x14ac:dyDescent="0.25">
      <c r="B18" s="2"/>
      <c r="C18" s="10"/>
      <c r="D18" s="10"/>
      <c r="E18" s="1"/>
    </row>
    <row r="19" spans="2:5" x14ac:dyDescent="0.25">
      <c r="B19" s="2"/>
      <c r="C19" s="10"/>
      <c r="D19" s="10"/>
      <c r="E19" s="1"/>
    </row>
    <row r="20" spans="2:5" x14ac:dyDescent="0.25">
      <c r="B20" s="2"/>
      <c r="C20" s="10"/>
      <c r="D20" s="10"/>
      <c r="E20" s="1"/>
    </row>
  </sheetData>
  <dataValidations count="1">
    <dataValidation type="list" allowBlank="1" showInputMessage="1" showErrorMessage="1" sqref="E3:E20">
      <formula1>INDIRECT("StatusOption[#Data]")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C3:D20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E52"/>
  <sheetViews>
    <sheetView workbookViewId="0">
      <selection activeCell="D6" sqref="D6"/>
    </sheetView>
  </sheetViews>
  <sheetFormatPr baseColWidth="10" defaultRowHeight="15" x14ac:dyDescent="0.25"/>
  <cols>
    <col min="1" max="1" width="8.28515625" customWidth="1"/>
    <col min="2" max="2" width="22" customWidth="1"/>
    <col min="3" max="3" width="18.5703125" customWidth="1"/>
    <col min="4" max="4" width="18.42578125" customWidth="1"/>
    <col min="5" max="5" width="21.42578125" customWidth="1"/>
  </cols>
  <sheetData>
    <row r="2" spans="2:5" ht="15.75" thickBot="1" x14ac:dyDescent="0.3">
      <c r="B2" s="16" t="s">
        <v>10</v>
      </c>
      <c r="C2" s="16" t="s">
        <v>11</v>
      </c>
      <c r="D2" s="16" t="s">
        <v>12</v>
      </c>
      <c r="E2" s="17" t="s">
        <v>13</v>
      </c>
    </row>
    <row r="3" spans="2:5" x14ac:dyDescent="0.25">
      <c r="B3" s="18" t="str">
        <f>IFERROR(Table2[[#This Row],[Activities]],"")</f>
        <v>llamer evis</v>
      </c>
      <c r="C3" s="19" t="str">
        <f>IFERROR(Table2[[#This Row],[Important]],"")</f>
        <v>No</v>
      </c>
      <c r="D3" s="19" t="str">
        <f>IFERROR(Table2[[#This Row],[Urgente]],"")</f>
        <v>Yes</v>
      </c>
      <c r="E3" s="19" t="str">
        <f>IF(IFERROR(Table2[[#This Row],[Status]],"")=0,"",IFERROR(Table2[[#This Row],[Status]],""))</f>
        <v>To be Started</v>
      </c>
    </row>
    <row r="4" spans="2:5" x14ac:dyDescent="0.25">
      <c r="B4" s="20" t="str">
        <f>IFERROR(Table2[[#This Row],[Activities]],"")</f>
        <v>conquistar evis</v>
      </c>
      <c r="C4" s="14" t="str">
        <f>IFERROR(Table2[[#This Row],[Important]],"")</f>
        <v>No</v>
      </c>
      <c r="D4" s="14" t="str">
        <f>IFERROR(Table2[[#This Row],[Urgente]],"")</f>
        <v>No</v>
      </c>
      <c r="E4" s="14" t="str">
        <f>IF(IFERROR(Table2[[#This Row],[Status]],"")=0,"",IFERROR(Table2[[#This Row],[Status]],""))</f>
        <v>In-Progress</v>
      </c>
    </row>
    <row r="5" spans="2:5" x14ac:dyDescent="0.25">
      <c r="B5" s="21" t="str">
        <f>IFERROR(Table2[[#This Row],[Activities]],"")</f>
        <v>coger a evis</v>
      </c>
      <c r="C5" s="22" t="str">
        <f>IFERROR(Table2[[#This Row],[Important]],"")</f>
        <v>Yes</v>
      </c>
      <c r="D5" s="22" t="str">
        <f>IFERROR(Table2[[#This Row],[Urgente]],"")</f>
        <v>Yes</v>
      </c>
      <c r="E5" s="22" t="str">
        <f>IF(IFERROR(Table2[[#This Row],[Status]],"")=0,"",IFERROR(Table2[[#This Row],[Status]],""))</f>
        <v>To be Started</v>
      </c>
    </row>
    <row r="6" spans="2:5" x14ac:dyDescent="0.25">
      <c r="B6" s="20">
        <f>IFERROR(Table2[[#This Row],[Activities]],"")</f>
        <v>0</v>
      </c>
      <c r="C6" s="14">
        <f>IFERROR(Table2[[#This Row],[Important]],"")</f>
        <v>0</v>
      </c>
      <c r="D6" s="14">
        <f>IFERROR(Table2[[#This Row],[Urgente]],"")</f>
        <v>0</v>
      </c>
      <c r="E6" s="14" t="str">
        <f>IF(IFERROR(Table2[[#This Row],[Status]],"")=0,"",IFERROR(Table2[[#This Row],[Status]],""))</f>
        <v/>
      </c>
    </row>
    <row r="7" spans="2:5" x14ac:dyDescent="0.25">
      <c r="B7" s="21">
        <f>IFERROR(Table2[[#This Row],[Activities]],"")</f>
        <v>0</v>
      </c>
      <c r="C7" s="22">
        <f>IFERROR(Table2[[#This Row],[Important]],"")</f>
        <v>0</v>
      </c>
      <c r="D7" s="22">
        <f>IFERROR(Table2[[#This Row],[Urgente]],"")</f>
        <v>0</v>
      </c>
      <c r="E7" s="22" t="str">
        <f>IF(IFERROR(Table2[[#This Row],[Status]],"")=0,"",IFERROR(Table2[[#This Row],[Status]],""))</f>
        <v/>
      </c>
    </row>
    <row r="8" spans="2:5" x14ac:dyDescent="0.25">
      <c r="B8" s="20">
        <f>IFERROR(Table2[[#This Row],[Activities]],"")</f>
        <v>0</v>
      </c>
      <c r="C8" s="14">
        <f>IFERROR(Table2[[#This Row],[Important]],"")</f>
        <v>0</v>
      </c>
      <c r="D8" s="14">
        <f>IFERROR(Table2[[#This Row],[Urgente]],"")</f>
        <v>0</v>
      </c>
      <c r="E8" s="14" t="str">
        <f>IF(IFERROR(Table2[[#This Row],[Status]],"")=0,"",IFERROR(Table2[[#This Row],[Status]],""))</f>
        <v/>
      </c>
    </row>
    <row r="9" spans="2:5" x14ac:dyDescent="0.25">
      <c r="B9" s="21">
        <f>IFERROR(Table2[[#This Row],[Activities]],"")</f>
        <v>0</v>
      </c>
      <c r="C9" s="22">
        <f>IFERROR(Table2[[#This Row],[Important]],"")</f>
        <v>0</v>
      </c>
      <c r="D9" s="22">
        <f>IFERROR(Table2[[#This Row],[Urgente]],"")</f>
        <v>0</v>
      </c>
      <c r="E9" s="22" t="str">
        <f>IF(IFERROR(Table2[[#This Row],[Status]],"")=0,"",IFERROR(Table2[[#This Row],[Status]],""))</f>
        <v/>
      </c>
    </row>
    <row r="10" spans="2:5" x14ac:dyDescent="0.25">
      <c r="B10" s="20">
        <f>IFERROR(Table2[[#This Row],[Activities]],"")</f>
        <v>0</v>
      </c>
      <c r="C10" s="14">
        <f>IFERROR(Table2[[#This Row],[Important]],"")</f>
        <v>0</v>
      </c>
      <c r="D10" s="14">
        <f>IFERROR(Table2[[#This Row],[Urgente]],"")</f>
        <v>0</v>
      </c>
      <c r="E10" s="14" t="str">
        <f>IF(IFERROR(Table2[[#This Row],[Status]],"")=0,"",IFERROR(Table2[[#This Row],[Status]],""))</f>
        <v/>
      </c>
    </row>
    <row r="11" spans="2:5" x14ac:dyDescent="0.25">
      <c r="B11" s="21">
        <f>IFERROR(Table2[[#This Row],[Activities]],"")</f>
        <v>0</v>
      </c>
      <c r="C11" s="22">
        <f>IFERROR(Table2[[#This Row],[Important]],"")</f>
        <v>0</v>
      </c>
      <c r="D11" s="22">
        <f>IFERROR(Table2[[#This Row],[Urgente]],"")</f>
        <v>0</v>
      </c>
      <c r="E11" s="22" t="str">
        <f>IF(IFERROR(Table2[[#This Row],[Status]],"")=0,"",IFERROR(Table2[[#This Row],[Status]],""))</f>
        <v/>
      </c>
    </row>
    <row r="12" spans="2:5" x14ac:dyDescent="0.25">
      <c r="B12" s="20">
        <f>IFERROR(Table2[[#This Row],[Activities]],"")</f>
        <v>0</v>
      </c>
      <c r="C12" s="14">
        <f>IFERROR(Table2[[#This Row],[Important]],"")</f>
        <v>0</v>
      </c>
      <c r="D12" s="14">
        <f>IFERROR(Table2[[#This Row],[Urgente]],"")</f>
        <v>0</v>
      </c>
      <c r="E12" s="14" t="str">
        <f>IF(IFERROR(Table2[[#This Row],[Status]],"")=0,"",IFERROR(Table2[[#This Row],[Status]],""))</f>
        <v/>
      </c>
    </row>
    <row r="13" spans="2:5" x14ac:dyDescent="0.25">
      <c r="B13" s="21">
        <f>IFERROR(Table2[[#This Row],[Activities]],"")</f>
        <v>0</v>
      </c>
      <c r="C13" s="22">
        <f>IFERROR(Table2[[#This Row],[Important]],"")</f>
        <v>0</v>
      </c>
      <c r="D13" s="22">
        <f>IFERROR(Table2[[#This Row],[Urgente]],"")</f>
        <v>0</v>
      </c>
      <c r="E13" s="22" t="str">
        <f>IF(IFERROR(Table2[[#This Row],[Status]],"")=0,"",IFERROR(Table2[[#This Row],[Status]],""))</f>
        <v/>
      </c>
    </row>
    <row r="14" spans="2:5" x14ac:dyDescent="0.25">
      <c r="B14" s="20">
        <f>IFERROR(Table2[[#This Row],[Activities]],"")</f>
        <v>0</v>
      </c>
      <c r="C14" s="14">
        <f>IFERROR(Table2[[#This Row],[Important]],"")</f>
        <v>0</v>
      </c>
      <c r="D14" s="14">
        <f>IFERROR(Table2[[#This Row],[Urgente]],"")</f>
        <v>0</v>
      </c>
      <c r="E14" s="14" t="str">
        <f>IF(IFERROR(Table2[[#This Row],[Status]],"")=0,"",IFERROR(Table2[[#This Row],[Status]],""))</f>
        <v/>
      </c>
    </row>
    <row r="15" spans="2:5" x14ac:dyDescent="0.25">
      <c r="B15" s="21">
        <f>IFERROR(Table2[[#This Row],[Activities]],"")</f>
        <v>0</v>
      </c>
      <c r="C15" s="22">
        <f>IFERROR(Table2[[#This Row],[Important]],"")</f>
        <v>0</v>
      </c>
      <c r="D15" s="22">
        <f>IFERROR(Table2[[#This Row],[Urgente]],"")</f>
        <v>0</v>
      </c>
      <c r="E15" s="22" t="str">
        <f>IF(IFERROR(Table2[[#This Row],[Status]],"")=0,"",IFERROR(Table2[[#This Row],[Status]],""))</f>
        <v/>
      </c>
    </row>
    <row r="16" spans="2:5" x14ac:dyDescent="0.25">
      <c r="B16" s="20">
        <f>IFERROR(Table2[[#This Row],[Activities]],"")</f>
        <v>0</v>
      </c>
      <c r="C16" s="14">
        <f>IFERROR(Table2[[#This Row],[Important]],"")</f>
        <v>0</v>
      </c>
      <c r="D16" s="14">
        <f>IFERROR(Table2[[#This Row],[Urgente]],"")</f>
        <v>0</v>
      </c>
      <c r="E16" s="14" t="str">
        <f>IF(IFERROR(Table2[[#This Row],[Status]],"")=0,"",IFERROR(Table2[[#This Row],[Status]],""))</f>
        <v/>
      </c>
    </row>
    <row r="17" spans="2:5" x14ac:dyDescent="0.25">
      <c r="B17" s="21">
        <f>IFERROR(Table2[[#This Row],[Activities]],"")</f>
        <v>0</v>
      </c>
      <c r="C17" s="22">
        <f>IFERROR(Table2[[#This Row],[Important]],"")</f>
        <v>0</v>
      </c>
      <c r="D17" s="22">
        <f>IFERROR(Table2[[#This Row],[Urgente]],"")</f>
        <v>0</v>
      </c>
      <c r="E17" s="22" t="str">
        <f>IF(IFERROR(Table2[[#This Row],[Status]],"")=0,"",IFERROR(Table2[[#This Row],[Status]],""))</f>
        <v/>
      </c>
    </row>
    <row r="18" spans="2:5" x14ac:dyDescent="0.25">
      <c r="B18" s="20">
        <f>IFERROR(Table2[[#This Row],[Activities]],"")</f>
        <v>0</v>
      </c>
      <c r="C18" s="14">
        <f>IFERROR(Table2[[#This Row],[Important]],"")</f>
        <v>0</v>
      </c>
      <c r="D18" s="14">
        <f>IFERROR(Table2[[#This Row],[Urgente]],"")</f>
        <v>0</v>
      </c>
      <c r="E18" s="14" t="str">
        <f>IF(IFERROR(Table2[[#This Row],[Status]],"")=0,"",IFERROR(Table2[[#This Row],[Status]],""))</f>
        <v/>
      </c>
    </row>
    <row r="19" spans="2:5" x14ac:dyDescent="0.25">
      <c r="B19" s="21">
        <f>IFERROR(Table2[[#This Row],[Activities]],"")</f>
        <v>0</v>
      </c>
      <c r="C19" s="22">
        <f>IFERROR(Table2[[#This Row],[Important]],"")</f>
        <v>0</v>
      </c>
      <c r="D19" s="22">
        <f>IFERROR(Table2[[#This Row],[Urgente]],"")</f>
        <v>0</v>
      </c>
      <c r="E19" s="22" t="str">
        <f>IF(IFERROR(Table2[[#This Row],[Status]],"")=0,"",IFERROR(Table2[[#This Row],[Status]],""))</f>
        <v/>
      </c>
    </row>
    <row r="20" spans="2:5" x14ac:dyDescent="0.25">
      <c r="B20" s="20">
        <f>IFERROR(Table2[[#This Row],[Activities]],"")</f>
        <v>0</v>
      </c>
      <c r="C20" s="14">
        <f>IFERROR(Table2[[#This Row],[Important]],"")</f>
        <v>0</v>
      </c>
      <c r="D20" s="14">
        <f>IFERROR(Table2[[#This Row],[Urgente]],"")</f>
        <v>0</v>
      </c>
      <c r="E20" s="14" t="str">
        <f>IF(IFERROR(Table2[[#This Row],[Status]],"")=0,"",IFERROR(Table2[[#This Row],[Status]],""))</f>
        <v/>
      </c>
    </row>
    <row r="21" spans="2:5" x14ac:dyDescent="0.25">
      <c r="B21" s="21" t="str">
        <f>IFERROR(Table2[[#This Row],[Activities]],"")</f>
        <v/>
      </c>
      <c r="C21" s="22" t="str">
        <f>IFERROR(Table2[[#This Row],[Important]],"")</f>
        <v/>
      </c>
      <c r="D21" s="22" t="str">
        <f>IFERROR(Table2[[#This Row],[Urgente]],"")</f>
        <v/>
      </c>
      <c r="E21" s="22" t="str">
        <f>IF(IFERROR(Table2[[#This Row],[Status]],"")=0,"",IFERROR(Table2[[#This Row],[Status]],""))</f>
        <v/>
      </c>
    </row>
    <row r="22" spans="2:5" x14ac:dyDescent="0.25">
      <c r="B22" s="20" t="str">
        <f>IFERROR(Table2[[#This Row],[Activities]],"")</f>
        <v/>
      </c>
      <c r="C22" s="14" t="str">
        <f>IFERROR(Table2[[#This Row],[Important]],"")</f>
        <v/>
      </c>
      <c r="D22" s="14" t="str">
        <f>IFERROR(Table2[[#This Row],[Urgente]],"")</f>
        <v/>
      </c>
      <c r="E22" s="14" t="str">
        <f>IF(IFERROR(Table2[[#This Row],[Status]],"")=0,"",IFERROR(Table2[[#This Row],[Status]],""))</f>
        <v/>
      </c>
    </row>
    <row r="23" spans="2:5" x14ac:dyDescent="0.25">
      <c r="B23" s="21" t="str">
        <f>IFERROR(Table2[[#This Row],[Activities]],"")</f>
        <v/>
      </c>
      <c r="C23" s="22" t="str">
        <f>IFERROR(Table2[[#This Row],[Important]],"")</f>
        <v/>
      </c>
      <c r="D23" s="22" t="str">
        <f>IFERROR(Table2[[#This Row],[Urgente]],"")</f>
        <v/>
      </c>
      <c r="E23" s="22" t="str">
        <f>IF(IFERROR(Table2[[#This Row],[Status]],"")=0,"",IFERROR(Table2[[#This Row],[Status]],""))</f>
        <v/>
      </c>
    </row>
    <row r="24" spans="2:5" x14ac:dyDescent="0.25">
      <c r="B24" s="20" t="str">
        <f>IFERROR(Table2[[#This Row],[Activities]],"")</f>
        <v/>
      </c>
      <c r="C24" s="14" t="str">
        <f>IFERROR(Table2[[#This Row],[Important]],"")</f>
        <v/>
      </c>
      <c r="D24" s="14" t="str">
        <f>IFERROR(Table2[[#This Row],[Urgente]],"")</f>
        <v/>
      </c>
      <c r="E24" s="14" t="str">
        <f>IF(IFERROR(Table2[[#This Row],[Status]],"")=0,"",IFERROR(Table2[[#This Row],[Status]],""))</f>
        <v/>
      </c>
    </row>
    <row r="25" spans="2:5" x14ac:dyDescent="0.25">
      <c r="B25" s="21" t="str">
        <f>IFERROR(Table2[[#This Row],[Activities]],"")</f>
        <v/>
      </c>
      <c r="C25" s="22" t="str">
        <f>IFERROR(Table2[[#This Row],[Important]],"")</f>
        <v/>
      </c>
      <c r="D25" s="22" t="str">
        <f>IFERROR(Table2[[#This Row],[Urgente]],"")</f>
        <v/>
      </c>
      <c r="E25" s="22" t="str">
        <f>IF(IFERROR(Table2[[#This Row],[Status]],"")=0,"",IFERROR(Table2[[#This Row],[Status]],""))</f>
        <v/>
      </c>
    </row>
    <row r="26" spans="2:5" x14ac:dyDescent="0.25">
      <c r="B26" s="20" t="str">
        <f>IFERROR(Table2[[#This Row],[Activities]],"")</f>
        <v/>
      </c>
      <c r="C26" s="14" t="str">
        <f>IFERROR(Table2[[#This Row],[Important]],"")</f>
        <v/>
      </c>
      <c r="D26" s="14" t="str">
        <f>IFERROR(Table2[[#This Row],[Urgente]],"")</f>
        <v/>
      </c>
      <c r="E26" s="14" t="str">
        <f>IF(IFERROR(Table2[[#This Row],[Status]],"")=0,"",IFERROR(Table2[[#This Row],[Status]],""))</f>
        <v/>
      </c>
    </row>
    <row r="27" spans="2:5" x14ac:dyDescent="0.25">
      <c r="B27" s="21" t="str">
        <f>IFERROR(Table2[[#This Row],[Activities]],"")</f>
        <v/>
      </c>
      <c r="C27" s="22" t="str">
        <f>IFERROR(Table2[[#This Row],[Important]],"")</f>
        <v/>
      </c>
      <c r="D27" s="22" t="str">
        <f>IFERROR(Table2[[#This Row],[Urgente]],"")</f>
        <v/>
      </c>
      <c r="E27" s="22" t="str">
        <f>IF(IFERROR(Table2[[#This Row],[Status]],"")=0,"",IFERROR(Table2[[#This Row],[Status]],""))</f>
        <v/>
      </c>
    </row>
    <row r="28" spans="2:5" x14ac:dyDescent="0.25">
      <c r="B28" s="20" t="str">
        <f>IFERROR(Table2[[#This Row],[Activities]],"")</f>
        <v/>
      </c>
      <c r="C28" s="14" t="str">
        <f>IFERROR(Table2[[#This Row],[Important]],"")</f>
        <v/>
      </c>
      <c r="D28" s="14" t="str">
        <f>IFERROR(Table2[[#This Row],[Urgente]],"")</f>
        <v/>
      </c>
      <c r="E28" s="14" t="str">
        <f>IF(IFERROR(Table2[[#This Row],[Status]],"")=0,"",IFERROR(Table2[[#This Row],[Status]],""))</f>
        <v/>
      </c>
    </row>
    <row r="29" spans="2:5" x14ac:dyDescent="0.25">
      <c r="B29" s="21" t="str">
        <f>IFERROR(Table2[[#This Row],[Activities]],"")</f>
        <v/>
      </c>
      <c r="C29" s="22" t="str">
        <f>IFERROR(Table2[[#This Row],[Important]],"")</f>
        <v/>
      </c>
      <c r="D29" s="22" t="str">
        <f>IFERROR(Table2[[#This Row],[Urgente]],"")</f>
        <v/>
      </c>
      <c r="E29" s="22" t="str">
        <f>IF(IFERROR(Table2[[#This Row],[Status]],"")=0,"",IFERROR(Table2[[#This Row],[Status]],""))</f>
        <v/>
      </c>
    </row>
    <row r="30" spans="2:5" x14ac:dyDescent="0.25">
      <c r="B30" s="20" t="str">
        <f>IFERROR(Table2[[#This Row],[Activities]],"")</f>
        <v/>
      </c>
      <c r="C30" s="14" t="str">
        <f>IFERROR(Table2[[#This Row],[Important]],"")</f>
        <v/>
      </c>
      <c r="D30" s="14" t="str">
        <f>IFERROR(Table2[[#This Row],[Urgente]],"")</f>
        <v/>
      </c>
      <c r="E30" s="14" t="str">
        <f>IF(IFERROR(Table2[[#This Row],[Status]],"")=0,"",IFERROR(Table2[[#This Row],[Status]],""))</f>
        <v/>
      </c>
    </row>
    <row r="31" spans="2:5" x14ac:dyDescent="0.25">
      <c r="B31" s="21" t="str">
        <f>IFERROR(Table2[[#This Row],[Activities]],"")</f>
        <v/>
      </c>
      <c r="C31" s="22" t="str">
        <f>IFERROR(Table2[[#This Row],[Important]],"")</f>
        <v/>
      </c>
      <c r="D31" s="22" t="str">
        <f>IFERROR(Table2[[#This Row],[Urgente]],"")</f>
        <v/>
      </c>
      <c r="E31" s="22" t="str">
        <f>IF(IFERROR(Table2[[#This Row],[Status]],"")=0,"",IFERROR(Table2[[#This Row],[Status]],""))</f>
        <v/>
      </c>
    </row>
    <row r="32" spans="2:5" x14ac:dyDescent="0.25">
      <c r="B32" s="20" t="str">
        <f>IFERROR(Table2[[#This Row],[Activities]],"")</f>
        <v/>
      </c>
      <c r="C32" s="14" t="str">
        <f>IFERROR(Table2[[#This Row],[Important]],"")</f>
        <v/>
      </c>
      <c r="D32" s="14" t="str">
        <f>IFERROR(Table2[[#This Row],[Urgente]],"")</f>
        <v/>
      </c>
      <c r="E32" s="14" t="str">
        <f>IF(IFERROR(Table2[[#This Row],[Status]],"")=0,"",IFERROR(Table2[[#This Row],[Status]],""))</f>
        <v/>
      </c>
    </row>
    <row r="33" spans="2:5" x14ac:dyDescent="0.25">
      <c r="B33" s="21" t="str">
        <f>IFERROR(Table2[[#This Row],[Activities]],"")</f>
        <v/>
      </c>
      <c r="C33" s="22" t="str">
        <f>IFERROR(Table2[[#This Row],[Important]],"")</f>
        <v/>
      </c>
      <c r="D33" s="22" t="str">
        <f>IFERROR(Table2[[#This Row],[Urgente]],"")</f>
        <v/>
      </c>
      <c r="E33" s="22" t="str">
        <f>IF(IFERROR(Table2[[#This Row],[Status]],"")=0,"",IFERROR(Table2[[#This Row],[Status]],""))</f>
        <v/>
      </c>
    </row>
    <row r="34" spans="2:5" x14ac:dyDescent="0.25">
      <c r="B34" s="20" t="str">
        <f>IFERROR(Table2[[#This Row],[Activities]],"")</f>
        <v/>
      </c>
      <c r="C34" s="14" t="str">
        <f>IFERROR(Table2[[#This Row],[Important]],"")</f>
        <v/>
      </c>
      <c r="D34" s="14" t="str">
        <f>IFERROR(Table2[[#This Row],[Urgente]],"")</f>
        <v/>
      </c>
      <c r="E34" s="14" t="str">
        <f>IF(IFERROR(Table2[[#This Row],[Status]],"")=0,"",IFERROR(Table2[[#This Row],[Status]],""))</f>
        <v/>
      </c>
    </row>
    <row r="35" spans="2:5" x14ac:dyDescent="0.25">
      <c r="B35" s="21" t="str">
        <f>IFERROR(Table2[[#This Row],[Activities]],"")</f>
        <v/>
      </c>
      <c r="C35" s="22" t="str">
        <f>IFERROR(Table2[[#This Row],[Important]],"")</f>
        <v/>
      </c>
      <c r="D35" s="22" t="str">
        <f>IFERROR(Table2[[#This Row],[Urgente]],"")</f>
        <v/>
      </c>
      <c r="E35" s="22" t="str">
        <f>IF(IFERROR(Table2[[#This Row],[Status]],"")=0,"",IFERROR(Table2[[#This Row],[Status]],""))</f>
        <v/>
      </c>
    </row>
    <row r="36" spans="2:5" x14ac:dyDescent="0.25">
      <c r="B36" s="20" t="str">
        <f>IFERROR(Table2[[#This Row],[Activities]],"")</f>
        <v/>
      </c>
      <c r="C36" s="14" t="str">
        <f>IFERROR(Table2[[#This Row],[Important]],"")</f>
        <v/>
      </c>
      <c r="D36" s="14" t="str">
        <f>IFERROR(Table2[[#This Row],[Urgente]],"")</f>
        <v/>
      </c>
      <c r="E36" s="14" t="str">
        <f>IF(IFERROR(Table2[[#This Row],[Status]],"")=0,"",IFERROR(Table2[[#This Row],[Status]],""))</f>
        <v/>
      </c>
    </row>
    <row r="37" spans="2:5" x14ac:dyDescent="0.25">
      <c r="B37" s="21" t="str">
        <f>IFERROR(Table2[[#This Row],[Activities]],"")</f>
        <v/>
      </c>
      <c r="C37" s="22" t="str">
        <f>IFERROR(Table2[[#This Row],[Important]],"")</f>
        <v/>
      </c>
      <c r="D37" s="22" t="str">
        <f>IFERROR(Table2[[#This Row],[Urgente]],"")</f>
        <v/>
      </c>
      <c r="E37" s="22" t="str">
        <f>IF(IFERROR(Table2[[#This Row],[Status]],"")=0,"",IFERROR(Table2[[#This Row],[Status]],""))</f>
        <v/>
      </c>
    </row>
    <row r="38" spans="2:5" x14ac:dyDescent="0.25">
      <c r="B38" s="20" t="str">
        <f>IFERROR(Table2[[#This Row],[Activities]],"")</f>
        <v/>
      </c>
      <c r="C38" s="14" t="str">
        <f>IFERROR(Table2[[#This Row],[Important]],"")</f>
        <v/>
      </c>
      <c r="D38" s="14" t="str">
        <f>IFERROR(Table2[[#This Row],[Urgente]],"")</f>
        <v/>
      </c>
      <c r="E38" s="14" t="str">
        <f>IF(IFERROR(Table2[[#This Row],[Status]],"")=0,"",IFERROR(Table2[[#This Row],[Status]],""))</f>
        <v/>
      </c>
    </row>
    <row r="39" spans="2:5" x14ac:dyDescent="0.25">
      <c r="B39" s="21" t="str">
        <f>IFERROR(Table2[[#This Row],[Activities]],"")</f>
        <v/>
      </c>
      <c r="C39" s="22" t="str">
        <f>IFERROR(Table2[[#This Row],[Important]],"")</f>
        <v/>
      </c>
      <c r="D39" s="22" t="str">
        <f>IFERROR(Table2[[#This Row],[Urgente]],"")</f>
        <v/>
      </c>
      <c r="E39" s="22" t="str">
        <f>IF(IFERROR(Table2[[#This Row],[Status]],"")=0,"",IFERROR(Table2[[#This Row],[Status]],""))</f>
        <v/>
      </c>
    </row>
    <row r="40" spans="2:5" x14ac:dyDescent="0.25">
      <c r="B40" s="20" t="str">
        <f>IFERROR(Table2[[#This Row],[Activities]],"")</f>
        <v/>
      </c>
      <c r="C40" s="14" t="str">
        <f>IFERROR(Table2[[#This Row],[Important]],"")</f>
        <v/>
      </c>
      <c r="D40" s="14" t="str">
        <f>IFERROR(Table2[[#This Row],[Urgente]],"")</f>
        <v/>
      </c>
      <c r="E40" s="14" t="str">
        <f>IF(IFERROR(Table2[[#This Row],[Status]],"")=0,"",IFERROR(Table2[[#This Row],[Status]],""))</f>
        <v/>
      </c>
    </row>
    <row r="41" spans="2:5" x14ac:dyDescent="0.25">
      <c r="B41" s="21" t="str">
        <f>IFERROR(Table2[[#This Row],[Activities]],"")</f>
        <v/>
      </c>
      <c r="C41" s="22" t="str">
        <f>IFERROR(Table2[[#This Row],[Important]],"")</f>
        <v/>
      </c>
      <c r="D41" s="22" t="str">
        <f>IFERROR(Table2[[#This Row],[Urgente]],"")</f>
        <v/>
      </c>
      <c r="E41" s="22" t="str">
        <f>IF(IFERROR(Table2[[#This Row],[Status]],"")=0,"",IFERROR(Table2[[#This Row],[Status]],""))</f>
        <v/>
      </c>
    </row>
    <row r="42" spans="2:5" x14ac:dyDescent="0.25">
      <c r="B42" s="20" t="str">
        <f>IFERROR(Table2[[#This Row],[Activities]],"")</f>
        <v/>
      </c>
      <c r="C42" s="14" t="str">
        <f>IFERROR(Table2[[#This Row],[Important]],"")</f>
        <v/>
      </c>
      <c r="D42" s="14" t="str">
        <f>IFERROR(Table2[[#This Row],[Urgente]],"")</f>
        <v/>
      </c>
      <c r="E42" s="14" t="str">
        <f>IF(IFERROR(Table2[[#This Row],[Status]],"")=0,"",IFERROR(Table2[[#This Row],[Status]],""))</f>
        <v/>
      </c>
    </row>
    <row r="43" spans="2:5" x14ac:dyDescent="0.25">
      <c r="B43" s="21" t="str">
        <f>IFERROR(Table2[[#This Row],[Activities]],"")</f>
        <v/>
      </c>
      <c r="C43" s="22" t="str">
        <f>IFERROR(Table2[[#This Row],[Important]],"")</f>
        <v/>
      </c>
      <c r="D43" s="22" t="str">
        <f>IFERROR(Table2[[#This Row],[Urgente]],"")</f>
        <v/>
      </c>
      <c r="E43" s="22" t="str">
        <f>IF(IFERROR(Table2[[#This Row],[Status]],"")=0,"",IFERROR(Table2[[#This Row],[Status]],""))</f>
        <v/>
      </c>
    </row>
    <row r="44" spans="2:5" x14ac:dyDescent="0.25">
      <c r="B44" s="20" t="str">
        <f>IFERROR(Table2[[#This Row],[Activities]],"")</f>
        <v/>
      </c>
      <c r="C44" s="14" t="str">
        <f>IFERROR(Table2[[#This Row],[Important]],"")</f>
        <v/>
      </c>
      <c r="D44" s="14" t="str">
        <f>IFERROR(Table2[[#This Row],[Urgente]],"")</f>
        <v/>
      </c>
      <c r="E44" s="14" t="str">
        <f>IF(IFERROR(Table2[[#This Row],[Status]],"")=0,"",IFERROR(Table2[[#This Row],[Status]],""))</f>
        <v/>
      </c>
    </row>
    <row r="45" spans="2:5" x14ac:dyDescent="0.25">
      <c r="B45" s="21" t="str">
        <f>IFERROR(Table2[[#This Row],[Activities]],"")</f>
        <v/>
      </c>
      <c r="C45" s="22" t="str">
        <f>IFERROR(Table2[[#This Row],[Important]],"")</f>
        <v/>
      </c>
      <c r="D45" s="22" t="str">
        <f>IFERROR(Table2[[#This Row],[Urgente]],"")</f>
        <v/>
      </c>
      <c r="E45" s="22" t="str">
        <f>IF(IFERROR(Table2[[#This Row],[Status]],"")=0,"",IFERROR(Table2[[#This Row],[Status]],""))</f>
        <v/>
      </c>
    </row>
    <row r="46" spans="2:5" x14ac:dyDescent="0.25">
      <c r="B46" s="20" t="str">
        <f>IFERROR(Table2[[#This Row],[Activities]],"")</f>
        <v/>
      </c>
      <c r="C46" s="14" t="str">
        <f>IFERROR(Table2[[#This Row],[Important]],"")</f>
        <v/>
      </c>
      <c r="D46" s="14" t="str">
        <f>IFERROR(Table2[[#This Row],[Urgente]],"")</f>
        <v/>
      </c>
      <c r="E46" s="14" t="str">
        <f>IF(IFERROR(Table2[[#This Row],[Status]],"")=0,"",IFERROR(Table2[[#This Row],[Status]],""))</f>
        <v/>
      </c>
    </row>
    <row r="47" spans="2:5" x14ac:dyDescent="0.25">
      <c r="B47" s="21" t="str">
        <f>IFERROR(Table2[[#This Row],[Activities]],"")</f>
        <v/>
      </c>
      <c r="C47" s="22" t="str">
        <f>IFERROR(Table2[[#This Row],[Important]],"")</f>
        <v/>
      </c>
      <c r="D47" s="22" t="str">
        <f>IFERROR(Table2[[#This Row],[Urgente]],"")</f>
        <v/>
      </c>
      <c r="E47" s="22" t="str">
        <f>IF(IFERROR(Table2[[#This Row],[Status]],"")=0,"",IFERROR(Table2[[#This Row],[Status]],""))</f>
        <v/>
      </c>
    </row>
    <row r="48" spans="2:5" x14ac:dyDescent="0.25">
      <c r="B48" s="20" t="str">
        <f>IFERROR(Table2[[#This Row],[Activities]],"")</f>
        <v/>
      </c>
      <c r="C48" s="14" t="str">
        <f>IFERROR(Table2[[#This Row],[Important]],"")</f>
        <v/>
      </c>
      <c r="D48" s="14" t="str">
        <f>IFERROR(Table2[[#This Row],[Urgente]],"")</f>
        <v/>
      </c>
      <c r="E48" s="14" t="str">
        <f>IF(IFERROR(Table2[[#This Row],[Status]],"")=0,"",IFERROR(Table2[[#This Row],[Status]],""))</f>
        <v/>
      </c>
    </row>
    <row r="49" spans="2:5" x14ac:dyDescent="0.25">
      <c r="B49" s="21" t="str">
        <f>IFERROR(Table2[[#This Row],[Activities]],"")</f>
        <v/>
      </c>
      <c r="C49" s="22" t="str">
        <f>IFERROR(Table2[[#This Row],[Important]],"")</f>
        <v/>
      </c>
      <c r="D49" s="22" t="str">
        <f>IFERROR(Table2[[#This Row],[Urgente]],"")</f>
        <v/>
      </c>
      <c r="E49" s="22" t="str">
        <f>IF(IFERROR(Table2[[#This Row],[Status]],"")=0,"",IFERROR(Table2[[#This Row],[Status]],""))</f>
        <v/>
      </c>
    </row>
    <row r="50" spans="2:5" x14ac:dyDescent="0.25">
      <c r="B50" s="20" t="str">
        <f>IFERROR(Table2[[#This Row],[Activities]],"")</f>
        <v/>
      </c>
      <c r="C50" s="14" t="str">
        <f>IFERROR(Table2[[#This Row],[Important]],"")</f>
        <v/>
      </c>
      <c r="D50" s="14" t="str">
        <f>IFERROR(Table2[[#This Row],[Urgente]],"")</f>
        <v/>
      </c>
      <c r="E50" s="14" t="str">
        <f>IF(IFERROR(Table2[[#This Row],[Status]],"")=0,"",IFERROR(Table2[[#This Row],[Status]],""))</f>
        <v/>
      </c>
    </row>
    <row r="51" spans="2:5" x14ac:dyDescent="0.25">
      <c r="B51" s="21" t="str">
        <f>IFERROR(Table2[[#This Row],[Activities]],"")</f>
        <v/>
      </c>
      <c r="C51" s="22" t="str">
        <f>IFERROR(Table2[[#This Row],[Important]],"")</f>
        <v/>
      </c>
      <c r="D51" s="22" t="str">
        <f>IFERROR(Table2[[#This Row],[Urgente]],"")</f>
        <v/>
      </c>
      <c r="E51" s="22" t="str">
        <f>IF(IFERROR(Table2[[#This Row],[Status]],"")=0,"",IFERROR(Table2[[#This Row],[Status]],""))</f>
        <v/>
      </c>
    </row>
    <row r="52" spans="2:5" x14ac:dyDescent="0.25">
      <c r="B52" s="20" t="str">
        <f>IFERROR(Table2[[#This Row],[Activities]],"")</f>
        <v/>
      </c>
      <c r="C52" s="14" t="str">
        <f>IFERROR(Table2[[#This Row],[Important]],"")</f>
        <v/>
      </c>
      <c r="D52" s="14" t="str">
        <f>IFERROR(Table2[[#This Row],[Urgente]],"")</f>
        <v/>
      </c>
      <c r="E52" s="14" t="str">
        <f>IF(IFERROR(Table2[[#This Row],[Status]],"")=0,"",IFERROR(Table2[[#This Row],[Status]],""))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C3:D52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TaskMatrix</vt:lpstr>
      <vt:lpstr>Hoja2</vt:lpstr>
      <vt:lpstr>To Do List</vt:lpstr>
      <vt:lpstr>To Do List Sorted</vt:lpstr>
      <vt:lpstr>YesNo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2020-07-10T21:19:39Z</dcterms:created>
  <dcterms:modified xsi:type="dcterms:W3CDTF">2020-07-15T21:28:20Z</dcterms:modified>
</cp:coreProperties>
</file>